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u" sheetId="1" state="visible" r:id="rId1"/>
    <sheet xmlns:r="http://schemas.openxmlformats.org/officeDocument/2006/relationships" name="Rate Data" sheetId="2" state="visible" r:id="rId2"/>
    <sheet xmlns:r="http://schemas.openxmlformats.org/officeDocument/2006/relationships" name="Risk Data" sheetId="3" state="visible" r:id="rId3"/>
    <sheet xmlns:r="http://schemas.openxmlformats.org/officeDocument/2006/relationships" name="Case-control Data" sheetId="4" state="visible" r:id="rId4"/>
    <sheet xmlns:r="http://schemas.openxmlformats.org/officeDocument/2006/relationships" name="Quickcalc" sheetId="5" state="visible" r:id="rId5"/>
    <sheet xmlns:r="http://schemas.openxmlformats.org/officeDocument/2006/relationships" name="O.R. Exact" sheetId="6" state="visible" r:id="rId6"/>
    <sheet xmlns:r="http://schemas.openxmlformats.org/officeDocument/2006/relationships" name="Standardization" sheetId="7" state="visible" r:id="rId7"/>
    <sheet xmlns:r="http://schemas.openxmlformats.org/officeDocument/2006/relationships" name="Cohort Power" sheetId="8" state="visible" r:id="rId8"/>
    <sheet xmlns:r="http://schemas.openxmlformats.org/officeDocument/2006/relationships" name="Case-control Power" sheetId="9" state="visible" r:id="rId9"/>
    <sheet xmlns:r="http://schemas.openxmlformats.org/officeDocument/2006/relationships" name="Study Size" sheetId="10" state="visible" r:id="rId10"/>
    <sheet xmlns:r="http://schemas.openxmlformats.org/officeDocument/2006/relationships" name="Meta-Analysis" sheetId="11" state="visible" r:id="rId11"/>
    <sheet xmlns:r="http://schemas.openxmlformats.org/officeDocument/2006/relationships" name="P-value Functions" sheetId="12" state="visible" r:id="rId12"/>
    <sheet xmlns:r="http://schemas.openxmlformats.org/officeDocument/2006/relationships" name="Seasonal Analysis" sheetId="13" state="visible" r:id="rId13"/>
    <sheet xmlns:r="http://schemas.openxmlformats.org/officeDocument/2006/relationships" name="Life Table" sheetId="14" state="visible" r:id="rId14"/>
    <sheet xmlns:r="http://schemas.openxmlformats.org/officeDocument/2006/relationships" name="Matched Case-control Data" sheetId="15" state="visible" r:id="rId15"/>
  </sheets>
  <definedNames/>
  <calcPr calcId="124519" fullCalcOnLoad="1"/>
</workbook>
</file>

<file path=xl/styles.xml><?xml version="1.0" encoding="utf-8"?>
<styleSheet xmlns="http://schemas.openxmlformats.org/spreadsheetml/2006/main">
  <numFmts count="1">
    <numFmt numFmtId="164" formatCode="0.0000"/>
  </numFmts>
  <fonts count="21">
    <font>
      <name val="Calibri"/>
      <family val="2"/>
      <color theme="1"/>
      <sz val="11"/>
      <scheme val="minor"/>
    </font>
    <font>
      <name val="Calibri"/>
      <b val="1"/>
      <color rgb="00005F6A"/>
      <sz val="22"/>
    </font>
    <font>
      <name val="Calibri"/>
      <b val="1"/>
      <color rgb="00165C7D"/>
      <sz val="12"/>
    </font>
    <font>
      <name val="Calibri"/>
      <color rgb="00444444"/>
      <sz val="9"/>
    </font>
    <font>
      <name val="Calibri"/>
      <b val="1"/>
      <color rgb="00FFFFFF"/>
      <sz val="10"/>
    </font>
    <font>
      <name val="Calibri"/>
      <b val="1"/>
      <color rgb="00005F6A"/>
      <sz val="10"/>
      <u val="single"/>
    </font>
    <font>
      <name val="Calibri"/>
      <b val="1"/>
      <color rgb="00165C7D"/>
      <sz val="10"/>
      <u val="single"/>
    </font>
    <font>
      <name val="Calibri"/>
      <b val="1"/>
      <color rgb="00005F6A"/>
      <sz val="10"/>
    </font>
    <font>
      <name val="Calibri"/>
      <color rgb="00333333"/>
      <sz val="9"/>
    </font>
    <font>
      <name val="Calibri"/>
      <sz val="9"/>
    </font>
    <font>
      <name val="Calibri"/>
      <b val="1"/>
      <color rgb="00005F6A"/>
      <sz val="14"/>
    </font>
    <font>
      <name val="Calibri"/>
      <b val="1"/>
      <color rgb="00FFFFFF"/>
      <sz val="9"/>
    </font>
    <font>
      <name val="Calibri"/>
      <sz val="10"/>
    </font>
    <font>
      <name val="Calibri"/>
      <color rgb="001A1A1A"/>
      <sz val="10"/>
    </font>
    <font>
      <name val="Calibri"/>
      <b val="1"/>
      <color rgb="00FFFFFF"/>
      <sz val="11"/>
    </font>
    <font>
      <name val="Calibri"/>
      <b val="1"/>
      <sz val="10"/>
    </font>
    <font>
      <name val="Calibri"/>
      <b val="1"/>
      <color rgb="00003D45"/>
      <sz val="10"/>
    </font>
    <font>
      <name val="Calibri"/>
      <b val="1"/>
      <color rgb="00003D45"/>
      <sz val="12"/>
    </font>
    <font>
      <name val="Calibri"/>
      <i val="1"/>
      <color rgb="00555555"/>
      <sz val="9"/>
    </font>
    <font>
      <name val="Calibri"/>
      <b val="1"/>
      <color rgb="00CC0000"/>
      <sz val="10"/>
    </font>
    <font>
      <name val="Calibri"/>
      <b val="1"/>
      <color rgb="00005F6A"/>
      <sz val="11"/>
    </font>
  </fonts>
  <fills count="9">
    <fill>
      <patternFill/>
    </fill>
    <fill>
      <patternFill patternType="gray125"/>
    </fill>
    <fill>
      <patternFill patternType="solid">
        <fgColor rgb="00005F6A"/>
      </patternFill>
    </fill>
    <fill>
      <patternFill patternType="solid">
        <fgColor rgb="00D6ECEE"/>
      </patternFill>
    </fill>
    <fill>
      <patternFill patternType="solid">
        <fgColor rgb="00D0E6F0"/>
      </patternFill>
    </fill>
    <fill>
      <patternFill patternType="solid">
        <fgColor rgb="00165C7D"/>
      </patternFill>
    </fill>
    <fill>
      <patternFill patternType="solid">
        <fgColor rgb="00F5F5F5"/>
      </patternFill>
    </fill>
    <fill>
      <patternFill patternType="solid">
        <fgColor rgb="00FFFFFF"/>
      </patternFill>
    </fill>
    <fill>
      <patternFill patternType="solid">
        <fgColor rgb="00EBF4F9"/>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5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top" wrapText="1"/>
    </xf>
    <xf numFmtId="0" fontId="4" fillId="2" borderId="0" applyAlignment="1" pivotButton="0" quotePrefix="0" xfId="0">
      <alignment horizontal="center"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pivotButton="0" quotePrefix="0" xfId="0"/>
    <xf numFmtId="0" fontId="8" fillId="0" borderId="0" applyAlignment="1" pivotButton="0" quotePrefix="0" xfId="0">
      <alignment horizontal="left" wrapText="1"/>
    </xf>
    <xf numFmtId="0" fontId="0" fillId="3" borderId="1" pivotButton="0" quotePrefix="0" xfId="0"/>
    <xf numFmtId="0" fontId="9" fillId="0" borderId="0" applyAlignment="1" pivotButton="0" quotePrefix="0" xfId="0">
      <alignment horizontal="left" vertical="center"/>
    </xf>
    <xf numFmtId="0" fontId="0" fillId="4" borderId="1" pivotButton="0" quotePrefix="0" xfId="0"/>
    <xf numFmtId="0" fontId="0" fillId="2" borderId="1" pivotButton="0" quotePrefix="0" xfId="0"/>
    <xf numFmtId="0" fontId="0" fillId="5" borderId="1" pivotButton="0" quotePrefix="0" xfId="0"/>
    <xf numFmtId="0" fontId="10" fillId="0" borderId="0" applyAlignment="1" pivotButton="0" quotePrefix="0" xfId="0">
      <alignment horizontal="left" vertical="center"/>
    </xf>
    <xf numFmtId="0" fontId="8" fillId="6" borderId="1" applyAlignment="1" pivotButton="0" quotePrefix="0" xfId="0">
      <alignment horizontal="left" vertical="top" wrapText="1"/>
    </xf>
    <xf numFmtId="0" fontId="4" fillId="5" borderId="1" applyAlignment="1" pivotButton="0" quotePrefix="0" xfId="0">
      <alignment horizontal="center" vertical="center"/>
    </xf>
    <xf numFmtId="0" fontId="11" fillId="2" borderId="1" applyAlignment="1" pivotButton="0" quotePrefix="0" xfId="0">
      <alignment horizontal="center" vertical="center"/>
    </xf>
    <xf numFmtId="0" fontId="12" fillId="0" borderId="0" applyAlignment="1" pivotButton="0" quotePrefix="0" xfId="0">
      <alignment horizontal="right" vertical="center"/>
    </xf>
    <xf numFmtId="0" fontId="13" fillId="3" borderId="1" applyAlignment="1" pivotButton="0" quotePrefix="0" xfId="0">
      <alignment horizontal="right" vertical="center"/>
    </xf>
    <xf numFmtId="0" fontId="14" fillId="2" borderId="1" applyAlignment="1" pivotButton="0" quotePrefix="0" xfId="0">
      <alignment horizontal="center" vertical="center"/>
    </xf>
    <xf numFmtId="0" fontId="15" fillId="6" borderId="0" applyAlignment="1" pivotButton="0" quotePrefix="0" xfId="0">
      <alignment horizontal="left" vertical="center"/>
    </xf>
    <xf numFmtId="0" fontId="0" fillId="6" borderId="0" pivotButton="0" quotePrefix="0" xfId="0"/>
    <xf numFmtId="164" fontId="16" fillId="4" borderId="1" applyAlignment="1" pivotButton="0" quotePrefix="0" xfId="0">
      <alignment horizontal="right" vertical="center"/>
    </xf>
    <xf numFmtId="0" fontId="13" fillId="3" borderId="1" pivotButton="0" quotePrefix="0" xfId="0"/>
    <xf numFmtId="0" fontId="16" fillId="4" borderId="1" pivotButton="0" quotePrefix="0" xfId="0"/>
    <xf numFmtId="0" fontId="12" fillId="0" borderId="0" pivotButton="0" quotePrefix="0" xfId="0"/>
    <xf numFmtId="0" fontId="15" fillId="0" borderId="0" applyAlignment="1" pivotButton="0" quotePrefix="0" xfId="0">
      <alignment horizontal="right" vertical="center"/>
    </xf>
    <xf numFmtId="1" fontId="16" fillId="4" borderId="1" applyAlignment="1" pivotButton="0" quotePrefix="0" xfId="0">
      <alignment horizontal="right" vertical="center"/>
    </xf>
    <xf numFmtId="0" fontId="17" fillId="0" borderId="0" applyAlignment="1" pivotButton="0" quotePrefix="0" xfId="0">
      <alignment horizontal="center" vertical="center"/>
    </xf>
    <xf numFmtId="0" fontId="14" fillId="5" borderId="1" applyAlignment="1" pivotButton="0" quotePrefix="0" xfId="0">
      <alignment horizontal="center" vertical="center"/>
    </xf>
    <xf numFmtId="0" fontId="18" fillId="0" borderId="0" pivotButton="0" quotePrefix="0" xfId="0"/>
    <xf numFmtId="0" fontId="4" fillId="5" borderId="1" applyAlignment="1" pivotButton="0" quotePrefix="0" xfId="0">
      <alignment horizontal="center" wrapText="1"/>
    </xf>
    <xf numFmtId="0" fontId="15" fillId="3" borderId="1" applyAlignment="1" pivotButton="0" quotePrefix="0" xfId="0">
      <alignment horizontal="center" vertical="center"/>
    </xf>
    <xf numFmtId="0" fontId="15" fillId="0" borderId="0" pivotButton="0" quotePrefix="0" xfId="0"/>
    <xf numFmtId="0" fontId="11" fillId="2" borderId="1" pivotButton="0" quotePrefix="0" xfId="0"/>
    <xf numFmtId="0" fontId="11" fillId="5" borderId="1" pivotButton="0" quotePrefix="0" xfId="0"/>
    <xf numFmtId="0" fontId="13" fillId="7" borderId="1" applyAlignment="1" pivotButton="0" quotePrefix="0" xfId="0">
      <alignment horizontal="right" vertical="center"/>
    </xf>
    <xf numFmtId="0" fontId="13" fillId="8" borderId="1" applyAlignment="1" pivotButton="0" quotePrefix="0" xfId="0">
      <alignment horizontal="right" vertical="center"/>
    </xf>
    <xf numFmtId="0" fontId="0" fillId="0" borderId="4" pivotButton="0" quotePrefix="0" xfId="0"/>
    <xf numFmtId="0" fontId="0" fillId="0" borderId="5" pivotButton="0" quotePrefix="0" xfId="0"/>
    <xf numFmtId="0" fontId="15" fillId="0" borderId="0" applyAlignment="1" pivotButton="0" quotePrefix="0" xfId="0">
      <alignment horizontal="center" vertical="center"/>
    </xf>
    <xf numFmtId="0" fontId="11" fillId="5" borderId="0" applyAlignment="1" pivotButton="0" quotePrefix="0" xfId="0">
      <alignment horizontal="center" vertical="center"/>
    </xf>
    <xf numFmtId="0" fontId="11" fillId="2" borderId="0" applyAlignment="1" pivotButton="0" quotePrefix="0" xfId="0">
      <alignment horizontal="center" vertical="center"/>
    </xf>
    <xf numFmtId="164" fontId="16" fillId="4" borderId="1" pivotButton="0" quotePrefix="0" xfId="0"/>
    <xf numFmtId="164" fontId="16" fillId="7" borderId="1" pivotButton="0" quotePrefix="0" xfId="0"/>
    <xf numFmtId="164" fontId="19" fillId="4" borderId="1" pivotButton="0" quotePrefix="0" xfId="0"/>
    <xf numFmtId="0" fontId="11" fillId="5" borderId="1" applyAlignment="1" pivotButton="0" quotePrefix="0" xfId="0">
      <alignment horizontal="center" vertical="center"/>
    </xf>
    <xf numFmtId="10" fontId="16" fillId="4" borderId="1" applyAlignment="1" pivotButton="0" quotePrefix="0" xfId="0">
      <alignment horizontal="right" vertical="center"/>
    </xf>
    <xf numFmtId="0" fontId="19" fillId="0" borderId="0" pivotButton="0" quotePrefix="0" xfId="0"/>
    <xf numFmtId="164" fontId="19" fillId="4" borderId="1" applyAlignment="1" pivotButton="0" quotePrefix="0" xfId="0">
      <alignment horizontal="right" vertical="center"/>
    </xf>
    <xf numFmtId="0" fontId="11" fillId="3" borderId="1" applyAlignment="1" pivotButton="0" quotePrefix="0" xfId="0">
      <alignment horizontal="center" vertical="center"/>
    </xf>
    <xf numFmtId="0" fontId="12" fillId="0" borderId="0" applyAlignment="1" pivotButton="0" quotePrefix="0" xfId="0">
      <alignment horizontal="center" vertical="center"/>
    </xf>
    <xf numFmtId="164" fontId="16" fillId="8" borderId="1" pivotButton="0" quotePrefix="0" xfId="0"/>
    <xf numFmtId="0" fontId="20" fillId="0" borderId="0" applyAlignment="1" pivotButton="0" quotePrefix="0" xfId="0">
      <alignment horizontal="center" vertical="center"/>
    </xf>
    <xf numFmtId="0" fontId="4"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ate Data!A1" TargetMode="External" Id="rId1"/><Relationship Type="http://schemas.openxmlformats.org/officeDocument/2006/relationships/hyperlink" Target="#Case-control Power!A1" TargetMode="External" Id="rId2"/><Relationship Type="http://schemas.openxmlformats.org/officeDocument/2006/relationships/hyperlink" Target="#Risk Data!A1" TargetMode="External" Id="rId3"/><Relationship Type="http://schemas.openxmlformats.org/officeDocument/2006/relationships/hyperlink" Target="#Study Size!A1" TargetMode="External" Id="rId4"/><Relationship Type="http://schemas.openxmlformats.org/officeDocument/2006/relationships/hyperlink" Target="#Case-control Data!A1" TargetMode="External" Id="rId5"/><Relationship Type="http://schemas.openxmlformats.org/officeDocument/2006/relationships/hyperlink" Target="#Matched Case-control Data!A1" TargetMode="External" Id="rId6"/><Relationship Type="http://schemas.openxmlformats.org/officeDocument/2006/relationships/hyperlink" Target="#Standardization!A1" TargetMode="External" Id="rId7"/><Relationship Type="http://schemas.openxmlformats.org/officeDocument/2006/relationships/hyperlink" Target="#O.R. Exact!A1" TargetMode="External" Id="rId8"/><Relationship Type="http://schemas.openxmlformats.org/officeDocument/2006/relationships/hyperlink" Target="#Cohort Power!A1" TargetMode="External" Id="rId9"/><Relationship Type="http://schemas.openxmlformats.org/officeDocument/2006/relationships/hyperlink" Target="#P-value Functions!A1" TargetMode="External" Id="rId10"/><Relationship Type="http://schemas.openxmlformats.org/officeDocument/2006/relationships/hyperlink" Target="#Life Table!A1" TargetMode="External" Id="rId11"/><Relationship Type="http://schemas.openxmlformats.org/officeDocument/2006/relationships/hyperlink" Target="#Seasonal Analysis!A1" TargetMode="External" Id="rId12"/><Relationship Type="http://schemas.openxmlformats.org/officeDocument/2006/relationships/hyperlink" Target="#Quickcalc!A1" TargetMode="External" Id="rId13"/><Relationship Type="http://schemas.openxmlformats.org/officeDocument/2006/relationships/hyperlink" Target="#Meta-Analysis!A1" TargetMode="External" Id="rId14"/></Relationships>
</file>

<file path=xl/worksheets/sheet1.xml><?xml version="1.0" encoding="utf-8"?>
<worksheet xmlns="http://schemas.openxmlformats.org/spreadsheetml/2006/main">
  <sheetPr>
    <outlinePr summaryBelow="1" summaryRight="1"/>
    <pageSetUpPr/>
  </sheetPr>
  <dimension ref="B2:H30"/>
  <sheetViews>
    <sheetView showGridLines="0" workbookViewId="0">
      <selection activeCell="A1" sqref="A1"/>
    </sheetView>
  </sheetViews>
  <sheetFormatPr baseColWidth="8" defaultRowHeight="15"/>
  <cols>
    <col width="3" customWidth="1" min="1" max="1"/>
    <col width="28" customWidth="1" min="2" max="2"/>
    <col width="2" customWidth="1" min="3" max="3"/>
    <col width="2" customWidth="1" min="4" max="4"/>
    <col width="32" customWidth="1" min="5" max="5"/>
    <col width="2" customWidth="1" min="6" max="6"/>
    <col width="2" customWidth="1" min="7" max="7"/>
    <col width="20" customWidth="1" min="8" max="8"/>
  </cols>
  <sheetData>
    <row r="2" ht="32" customHeight="1">
      <c r="B2" s="1" t="inlineStr">
        <is>
          <t>EpiSheet</t>
        </is>
      </c>
    </row>
    <row r="3" ht="20" customHeight="1">
      <c r="B3" s="2" t="inlineStr">
        <is>
          <t>Spreadsheets for the Analysis of Epidemiologic Data</t>
        </is>
      </c>
    </row>
    <row r="4">
      <c r="B4" s="3" t="inlineStr">
        <is>
          <t>Written by Ken Rothman. These spreadsheets may be distributed freely. No warranty is implied about the accuracy of the results. Version of November 15, 2021.</t>
        </is>
      </c>
    </row>
    <row r="5"/>
    <row r="7">
      <c r="B7" s="4" t="inlineStr">
        <is>
          <t>Navigation — click a link to jump to a sheet</t>
        </is>
      </c>
    </row>
    <row r="9" ht="18" customHeight="1">
      <c r="B9" s="5" t="inlineStr">
        <is>
          <t>Rate Data</t>
        </is>
      </c>
      <c r="E9" s="6" t="inlineStr">
        <is>
          <t>Case-control Power</t>
        </is>
      </c>
    </row>
    <row r="10" ht="18" customHeight="1">
      <c r="B10" s="5" t="inlineStr">
        <is>
          <t>Risk Data</t>
        </is>
      </c>
      <c r="E10" s="6" t="inlineStr">
        <is>
          <t>Study Size</t>
        </is>
      </c>
    </row>
    <row r="11" ht="18" customHeight="1">
      <c r="B11" s="5" t="inlineStr">
        <is>
          <t>Case-control Data</t>
        </is>
      </c>
      <c r="E11" s="6" t="inlineStr">
        <is>
          <t>Matched Case-control Data</t>
        </is>
      </c>
    </row>
    <row r="12" ht="18" customHeight="1">
      <c r="B12" s="5" t="inlineStr">
        <is>
          <t>Standardization</t>
        </is>
      </c>
      <c r="E12" s="6" t="inlineStr">
        <is>
          <t>O.R. Exact</t>
        </is>
      </c>
    </row>
    <row r="13" ht="18" customHeight="1">
      <c r="B13" s="5" t="inlineStr">
        <is>
          <t>Cohort Power</t>
        </is>
      </c>
      <c r="E13" s="6" t="inlineStr">
        <is>
          <t>P-value Functions</t>
        </is>
      </c>
    </row>
    <row r="14" ht="18" customHeight="1">
      <c r="B14" s="5" t="inlineStr">
        <is>
          <t>Life Table</t>
        </is>
      </c>
      <c r="E14" s="6" t="inlineStr">
        <is>
          <t>Seasonal Analysis</t>
        </is>
      </c>
    </row>
    <row r="15" ht="18" customHeight="1">
      <c r="B15" s="5" t="inlineStr">
        <is>
          <t>Quickcalc</t>
        </is>
      </c>
      <c r="E15" s="6" t="inlineStr">
        <is>
          <t>Meta-Analysis</t>
        </is>
      </c>
    </row>
    <row r="18">
      <c r="B18" s="7" t="inlineStr">
        <is>
          <t>Key References</t>
        </is>
      </c>
    </row>
    <row r="19" ht="14" customHeight="1">
      <c r="B19" s="8" t="inlineStr">
        <is>
          <t>1. Walter SD, Elwood JM. A test for seasonality of disease. Ann Hum Gen 1975;25:83-87.</t>
        </is>
      </c>
    </row>
    <row r="20" ht="14" customHeight="1">
      <c r="B20" s="8" t="inlineStr">
        <is>
          <t>2. Rothman KJ, Boice JD. Epidemiologic Analysis with a Programmable Calculator. NIH Pub No. 79-1649, 1979.</t>
        </is>
      </c>
    </row>
    <row r="21" ht="14" customHeight="1">
      <c r="B21" s="8" t="inlineStr">
        <is>
          <t>3. Dobson AJ et al. Confidence intervals for weighted sums of Poisson parameters. Stat Med 1991.</t>
        </is>
      </c>
    </row>
    <row r="22" ht="14" customHeight="1">
      <c r="B22" s="8" t="inlineStr">
        <is>
          <t>4. Fleiss JL. The statistical basis of meta-analysis. Stat Methods Med Res 1993;2:121-145.</t>
        </is>
      </c>
    </row>
    <row r="23" ht="14" customHeight="1">
      <c r="B23" s="8" t="inlineStr">
        <is>
          <t>5. Rothman KJ, Greenland S, Lash T. Modern Epidemiology, 3rd Ed. Lippincott, Williams &amp; Wilkins, 2008.</t>
        </is>
      </c>
    </row>
    <row r="26">
      <c r="B26" s="7" t="inlineStr">
        <is>
          <t>Colour Guide</t>
        </is>
      </c>
    </row>
    <row r="27">
      <c r="B27" s="9" t="n"/>
      <c r="C27" s="10" t="inlineStr">
        <is>
          <t>Input cells — enter your data here</t>
        </is>
      </c>
    </row>
    <row r="28">
      <c r="B28" s="11" t="n"/>
      <c r="C28" s="10" t="inlineStr">
        <is>
          <t>Result cells — calculated, do not edit</t>
        </is>
      </c>
    </row>
    <row r="29">
      <c r="B29" s="12" t="n"/>
      <c r="C29" s="10" t="inlineStr">
        <is>
          <t>Section headers</t>
        </is>
      </c>
    </row>
    <row r="30">
      <c r="B30" s="13" t="n"/>
      <c r="C30" s="10" t="inlineStr">
        <is>
          <t>Sub-headers / crude data sections</t>
        </is>
      </c>
    </row>
  </sheetData>
  <mergeCells count="15">
    <mergeCell ref="B22:H22"/>
    <mergeCell ref="B26:H26"/>
    <mergeCell ref="B18:H18"/>
    <mergeCell ref="C28:H28"/>
    <mergeCell ref="C27:H27"/>
    <mergeCell ref="B21:H21"/>
    <mergeCell ref="B4:H5"/>
    <mergeCell ref="B2:H2"/>
    <mergeCell ref="C29:H29"/>
    <mergeCell ref="B7:H7"/>
    <mergeCell ref="B3:H3"/>
    <mergeCell ref="B19:H19"/>
    <mergeCell ref="B20:H20"/>
    <mergeCell ref="C30:H30"/>
    <mergeCell ref="B23:H23"/>
  </mergeCells>
  <hyperlinks>
    <hyperlink xmlns:r="http://schemas.openxmlformats.org/officeDocument/2006/relationships" ref="B9" r:id="rId1"/>
    <hyperlink xmlns:r="http://schemas.openxmlformats.org/officeDocument/2006/relationships" ref="E9" r:id="rId2"/>
    <hyperlink xmlns:r="http://schemas.openxmlformats.org/officeDocument/2006/relationships" ref="B10" r:id="rId3"/>
    <hyperlink xmlns:r="http://schemas.openxmlformats.org/officeDocument/2006/relationships" ref="E10" r:id="rId4"/>
    <hyperlink xmlns:r="http://schemas.openxmlformats.org/officeDocument/2006/relationships" ref="B11" r:id="rId5"/>
    <hyperlink xmlns:r="http://schemas.openxmlformats.org/officeDocument/2006/relationships" ref="E11" r:id="rId6"/>
    <hyperlink xmlns:r="http://schemas.openxmlformats.org/officeDocument/2006/relationships" ref="B12" r:id="rId7"/>
    <hyperlink xmlns:r="http://schemas.openxmlformats.org/officeDocument/2006/relationships" ref="E12" r:id="rId8"/>
    <hyperlink xmlns:r="http://schemas.openxmlformats.org/officeDocument/2006/relationships" ref="B13" r:id="rId9"/>
    <hyperlink xmlns:r="http://schemas.openxmlformats.org/officeDocument/2006/relationships" ref="E13" r:id="rId10"/>
    <hyperlink xmlns:r="http://schemas.openxmlformats.org/officeDocument/2006/relationships" ref="B14" r:id="rId11"/>
    <hyperlink xmlns:r="http://schemas.openxmlformats.org/officeDocument/2006/relationships" ref="E14" r:id="rId12"/>
    <hyperlink xmlns:r="http://schemas.openxmlformats.org/officeDocument/2006/relationships" ref="B15" r:id="rId13"/>
    <hyperlink xmlns:r="http://schemas.openxmlformats.org/officeDocument/2006/relationships" ref="E15"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N32"/>
  <sheetViews>
    <sheetView showGridLines="0" workbookViewId="0">
      <selection activeCell="A1" sqref="A1"/>
    </sheetView>
  </sheetViews>
  <sheetFormatPr baseColWidth="8" defaultRowHeight="15"/>
  <cols>
    <col width="3" customWidth="1" min="1" max="1"/>
    <col width="14" customWidth="1" min="2" max="2"/>
    <col width="10" customWidth="1" min="3" max="3"/>
    <col width="10" customWidth="1" min="4" max="4"/>
    <col width="10" customWidth="1" min="5" max="5"/>
    <col width="2" customWidth="1" min="6" max="6"/>
    <col width="14" customWidth="1" min="7" max="7"/>
    <col width="10" customWidth="1" min="8" max="8"/>
    <col width="10" customWidth="1" min="9" max="9"/>
    <col width="10" customWidth="1" min="10" max="10"/>
    <col width="2" customWidth="1" min="11" max="11"/>
    <col width="20" customWidth="1" min="12" max="12"/>
    <col width="12" customWidth="1" min="13" max="13"/>
    <col width="12" customWidth="1" min="14" max="14"/>
  </cols>
  <sheetData>
    <row r="1" ht="28" customHeight="1">
      <c r="B1" s="14" t="inlineStr">
        <is>
          <t>Rate Data</t>
        </is>
      </c>
    </row>
    <row r="2">
      <c r="B2" s="15" t="inlineStr">
        <is>
          <t>Instructions:
1. Enter cases and person-time in yellow cells of tables on the right.
2. Check entries against crude table below.
3. Results appear in blue cells. CTL-e clears all entries.
Ref: Mod. Epid. 3rd ed. Ch. 15</t>
        </is>
      </c>
      <c r="G2" s="16" t="inlineStr">
        <is>
          <t>Stratum 1</t>
        </is>
      </c>
    </row>
    <row r="3">
      <c r="G3" s="17" t="inlineStr">
        <is>
          <t>Exposed</t>
        </is>
      </c>
      <c r="H3" s="17" t="inlineStr">
        <is>
          <t>Unexposed</t>
        </is>
      </c>
      <c r="I3" s="17" t="inlineStr">
        <is>
          <t>Total</t>
        </is>
      </c>
    </row>
    <row r="4">
      <c r="F4" s="18" t="inlineStr">
        <is>
          <t>Cases</t>
        </is>
      </c>
      <c r="G4" s="19" t="n"/>
      <c r="H4" s="19" t="n"/>
    </row>
    <row r="5">
      <c r="F5" s="18" t="inlineStr">
        <is>
          <t>Person-time</t>
        </is>
      </c>
      <c r="G5" s="19" t="n"/>
      <c r="H5" s="19" t="n"/>
    </row>
    <row r="8">
      <c r="G8" s="16" t="inlineStr">
        <is>
          <t>Stratum 2</t>
        </is>
      </c>
    </row>
    <row r="9">
      <c r="G9" s="17" t="inlineStr">
        <is>
          <t>Exposed</t>
        </is>
      </c>
      <c r="H9" s="17" t="inlineStr">
        <is>
          <t>Unexposed</t>
        </is>
      </c>
      <c r="I9" s="17" t="inlineStr">
        <is>
          <t>Total</t>
        </is>
      </c>
    </row>
    <row r="10">
      <c r="F10" s="18" t="inlineStr">
        <is>
          <t>Cases</t>
        </is>
      </c>
      <c r="G10" s="19" t="n"/>
      <c r="H10" s="19" t="n"/>
    </row>
    <row r="11">
      <c r="F11" s="18" t="inlineStr">
        <is>
          <t>Person-time</t>
        </is>
      </c>
      <c r="G11" s="19" t="n"/>
      <c r="H11" s="19" t="n"/>
    </row>
    <row r="14">
      <c r="G14" s="16" t="inlineStr">
        <is>
          <t>Stratum 3</t>
        </is>
      </c>
    </row>
    <row r="15">
      <c r="G15" s="17" t="inlineStr">
        <is>
          <t>Exposed</t>
        </is>
      </c>
      <c r="H15" s="17" t="inlineStr">
        <is>
          <t>Unexposed</t>
        </is>
      </c>
      <c r="I15" s="17" t="inlineStr">
        <is>
          <t>Total</t>
        </is>
      </c>
    </row>
    <row r="16">
      <c r="F16" s="18" t="inlineStr">
        <is>
          <t>Cases</t>
        </is>
      </c>
      <c r="G16" s="19" t="n"/>
      <c r="H16" s="19" t="n"/>
    </row>
    <row r="17">
      <c r="F17" s="18" t="inlineStr">
        <is>
          <t>Person-time</t>
        </is>
      </c>
      <c r="G17" s="19" t="n"/>
      <c r="H17" s="19" t="n"/>
    </row>
    <row r="20">
      <c r="B20" s="20" t="inlineStr">
        <is>
          <t>Results</t>
        </is>
      </c>
    </row>
    <row r="21">
      <c r="B21" s="21" t="inlineStr">
        <is>
          <t>MH Rate Ratio</t>
        </is>
      </c>
      <c r="C21" s="22" t="n"/>
      <c r="D21" s="23">
        <f>NA()</f>
        <v/>
      </c>
    </row>
    <row r="22">
      <c r="B22" s="21" t="inlineStr">
        <is>
          <t>90% Conf. Interv. –</t>
        </is>
      </c>
      <c r="C22" s="22" t="n"/>
      <c r="D22" s="23">
        <f>NA()</f>
        <v/>
      </c>
    </row>
    <row r="23">
      <c r="B23" s="21" t="inlineStr">
        <is>
          <t>90% Conf. Interv. +</t>
        </is>
      </c>
      <c r="C23" s="22" t="n"/>
      <c r="D23" s="23">
        <f>NA()</f>
        <v/>
      </c>
    </row>
    <row r="24">
      <c r="B24" s="21" t="inlineStr">
        <is>
          <t>95% Conf. Interv. –</t>
        </is>
      </c>
      <c r="C24" s="22" t="n"/>
      <c r="D24" s="23">
        <f>NA()</f>
        <v/>
      </c>
    </row>
    <row r="25">
      <c r="B25" s="21" t="inlineStr">
        <is>
          <t>95% Conf. Interv. +</t>
        </is>
      </c>
      <c r="C25" s="22" t="n"/>
      <c r="D25" s="23">
        <f>NA()</f>
        <v/>
      </c>
    </row>
    <row r="26">
      <c r="B26" s="21" t="inlineStr">
        <is>
          <t>P-value homogeneity</t>
        </is>
      </c>
      <c r="C26" s="22" t="n"/>
      <c r="D26" s="23">
        <f>NA()</f>
        <v/>
      </c>
    </row>
    <row r="27">
      <c r="B27" s="21" t="inlineStr">
        <is>
          <t>Crude Rate Ratio</t>
        </is>
      </c>
      <c r="C27" s="22" t="n"/>
      <c r="D27" s="23">
        <f>NA()</f>
        <v/>
      </c>
    </row>
    <row r="29">
      <c r="B29" s="16" t="inlineStr">
        <is>
          <t>Crude Data</t>
        </is>
      </c>
    </row>
    <row r="30">
      <c r="B30" s="17" t="inlineStr">
        <is>
          <t>Exposed</t>
        </is>
      </c>
      <c r="C30" s="17" t="inlineStr">
        <is>
          <t>Unexposed</t>
        </is>
      </c>
    </row>
    <row r="31">
      <c r="B31" s="18" t="inlineStr">
        <is>
          <t>Cases</t>
        </is>
      </c>
      <c r="C31" s="24" t="n"/>
      <c r="D31" s="24" t="n"/>
    </row>
    <row r="32">
      <c r="B32" s="18" t="inlineStr">
        <is>
          <t>Person-time</t>
        </is>
      </c>
      <c r="C32" s="24" t="n"/>
      <c r="D32" s="24" t="n"/>
    </row>
  </sheetData>
  <mergeCells count="7">
    <mergeCell ref="B20:E20"/>
    <mergeCell ref="B1:N1"/>
    <mergeCell ref="G8:J8"/>
    <mergeCell ref="B29:E29"/>
    <mergeCell ref="G2:J2"/>
    <mergeCell ref="B2:E5"/>
    <mergeCell ref="G14:J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N33"/>
  <sheetViews>
    <sheetView showGridLines="0" workbookViewId="0">
      <selection activeCell="A1" sqref="A1"/>
    </sheetView>
  </sheetViews>
  <sheetFormatPr baseColWidth="8" defaultRowHeight="15"/>
  <cols>
    <col width="3" customWidth="1" min="1" max="1"/>
    <col width="14" customWidth="1" min="2" max="2"/>
    <col width="10" customWidth="1" min="3" max="3"/>
    <col width="10" customWidth="1" min="4" max="4"/>
    <col width="10" customWidth="1" min="5" max="5"/>
    <col width="2" customWidth="1" min="6" max="6"/>
    <col width="14" customWidth="1" min="7" max="7"/>
    <col width="10" customWidth="1" min="8" max="8"/>
    <col width="10" customWidth="1" min="9" max="9"/>
    <col width="10" customWidth="1" min="10" max="10"/>
    <col width="2" customWidth="1" min="11" max="11"/>
    <col width="20" customWidth="1" min="12" max="12"/>
    <col width="12" customWidth="1" min="13" max="13"/>
    <col width="12" customWidth="1" min="14" max="14"/>
  </cols>
  <sheetData>
    <row r="1" ht="28" customHeight="1">
      <c r="B1" s="14" t="inlineStr">
        <is>
          <t>Risk Data</t>
        </is>
      </c>
    </row>
    <row r="2">
      <c r="B2" s="15" t="inlineStr">
        <is>
          <t>Instructions:
1. Enter frequencies in yellow cells of 2×2 tables.
2. Enter Number of Exposed People at Risk in each stratum.
3. Results appear in blue cells. CTL-e clears all entries.
Ref: Mod. Epid. 3rd ed. Ch. 15 | Biometrics 1986;42:1323-4</t>
        </is>
      </c>
      <c r="G2" s="16" t="inlineStr">
        <is>
          <t>Stratum 1</t>
        </is>
      </c>
    </row>
    <row r="3">
      <c r="G3" s="17" t="inlineStr">
        <is>
          <t>Exposed</t>
        </is>
      </c>
      <c r="H3" s="17" t="inlineStr">
        <is>
          <t>Unexposed</t>
        </is>
      </c>
      <c r="I3" s="17" t="inlineStr">
        <is>
          <t>Total</t>
        </is>
      </c>
    </row>
    <row r="4">
      <c r="F4" s="18" t="inlineStr">
        <is>
          <t>Cases</t>
        </is>
      </c>
      <c r="G4" s="19" t="n"/>
      <c r="H4" s="19" t="n"/>
      <c r="I4" s="25">
        <f>G4+H4</f>
        <v/>
      </c>
    </row>
    <row r="5">
      <c r="F5" s="18" t="inlineStr">
        <is>
          <t>Non-cases</t>
        </is>
      </c>
      <c r="G5" s="19" t="n"/>
      <c r="H5" s="19" t="n"/>
      <c r="I5" s="25">
        <f>G5+H5</f>
        <v/>
      </c>
    </row>
    <row r="6">
      <c r="F6" s="18" t="inlineStr">
        <is>
          <t>Total</t>
        </is>
      </c>
      <c r="G6" s="19" t="n"/>
      <c r="H6" s="19" t="n"/>
      <c r="I6" s="25">
        <f>G6+H6</f>
        <v/>
      </c>
    </row>
    <row r="8">
      <c r="G8" s="16" t="inlineStr">
        <is>
          <t>Stratum 2</t>
        </is>
      </c>
    </row>
    <row r="9">
      <c r="G9" s="17" t="inlineStr">
        <is>
          <t>Exposed</t>
        </is>
      </c>
      <c r="H9" s="17" t="inlineStr">
        <is>
          <t>Unexposed</t>
        </is>
      </c>
      <c r="I9" s="17" t="inlineStr">
        <is>
          <t>Total</t>
        </is>
      </c>
    </row>
    <row r="10">
      <c r="F10" s="18" t="inlineStr">
        <is>
          <t>Cases</t>
        </is>
      </c>
      <c r="G10" s="19" t="n"/>
      <c r="H10" s="19" t="n"/>
      <c r="I10" s="25">
        <f>G10+H10</f>
        <v/>
      </c>
    </row>
    <row r="11">
      <c r="F11" s="18" t="inlineStr">
        <is>
          <t>Non-cases</t>
        </is>
      </c>
      <c r="G11" s="19" t="n"/>
      <c r="H11" s="19" t="n"/>
      <c r="I11" s="25">
        <f>G11+H11</f>
        <v/>
      </c>
    </row>
    <row r="12">
      <c r="F12" s="18" t="inlineStr">
        <is>
          <t>Total</t>
        </is>
      </c>
      <c r="G12" s="19" t="n"/>
      <c r="H12" s="19" t="n"/>
      <c r="I12" s="25">
        <f>G12+H12</f>
        <v/>
      </c>
    </row>
    <row r="14">
      <c r="G14" s="16" t="inlineStr">
        <is>
          <t>Stratum 3</t>
        </is>
      </c>
    </row>
    <row r="15">
      <c r="G15" s="17" t="inlineStr">
        <is>
          <t>Exposed</t>
        </is>
      </c>
      <c r="H15" s="17" t="inlineStr">
        <is>
          <t>Unexposed</t>
        </is>
      </c>
      <c r="I15" s="17" t="inlineStr">
        <is>
          <t>Total</t>
        </is>
      </c>
    </row>
    <row r="16">
      <c r="F16" s="18" t="inlineStr">
        <is>
          <t>Cases</t>
        </is>
      </c>
      <c r="G16" s="19" t="n"/>
      <c r="H16" s="19" t="n"/>
      <c r="I16" s="25">
        <f>G16+H16</f>
        <v/>
      </c>
    </row>
    <row r="17">
      <c r="F17" s="18" t="inlineStr">
        <is>
          <t>Non-cases</t>
        </is>
      </c>
      <c r="G17" s="19" t="n"/>
      <c r="H17" s="19" t="n"/>
      <c r="I17" s="25">
        <f>G17+H17</f>
        <v/>
      </c>
    </row>
    <row r="18">
      <c r="F18" s="18" t="inlineStr">
        <is>
          <t>Total</t>
        </is>
      </c>
      <c r="G18" s="19" t="n"/>
      <c r="H18" s="19" t="n"/>
      <c r="I18" s="25">
        <f>G18+H18</f>
        <v/>
      </c>
    </row>
    <row r="20">
      <c r="B20" s="20" t="inlineStr">
        <is>
          <t>Results</t>
        </is>
      </c>
    </row>
    <row r="21">
      <c r="B21" s="21" t="inlineStr">
        <is>
          <t>MH Risk Ratio</t>
        </is>
      </c>
      <c r="C21" s="22" t="n"/>
      <c r="D21" s="23">
        <f>NA()</f>
        <v/>
      </c>
    </row>
    <row r="22">
      <c r="B22" s="21" t="inlineStr">
        <is>
          <t>90% Conf. Interv. –</t>
        </is>
      </c>
      <c r="C22" s="22" t="n"/>
      <c r="D22" s="23">
        <f>NA()</f>
        <v/>
      </c>
    </row>
    <row r="23">
      <c r="B23" s="21" t="inlineStr">
        <is>
          <t>90% Conf. Interv. +</t>
        </is>
      </c>
      <c r="C23" s="22" t="n"/>
      <c r="D23" s="23">
        <f>NA()</f>
        <v/>
      </c>
    </row>
    <row r="24">
      <c r="B24" s="21" t="inlineStr">
        <is>
          <t>95% Conf. Interv. –</t>
        </is>
      </c>
      <c r="C24" s="22" t="n"/>
      <c r="D24" s="23">
        <f>NA()</f>
        <v/>
      </c>
    </row>
    <row r="25">
      <c r="B25" s="21" t="inlineStr">
        <is>
          <t>95% Conf. Interv. +</t>
        </is>
      </c>
      <c r="C25" s="22" t="n"/>
      <c r="D25" s="23">
        <f>NA()</f>
        <v/>
      </c>
    </row>
    <row r="26">
      <c r="B26" s="21" t="inlineStr">
        <is>
          <t>P-value homogeneity</t>
        </is>
      </c>
      <c r="C26" s="22" t="n"/>
      <c r="D26" s="23">
        <f>NA()</f>
        <v/>
      </c>
    </row>
    <row r="27">
      <c r="B27" s="21" t="inlineStr">
        <is>
          <t>Crude Risk Ratio</t>
        </is>
      </c>
      <c r="C27" s="22" t="n"/>
      <c r="D27" s="23">
        <f>NA()</f>
        <v/>
      </c>
    </row>
    <row r="29">
      <c r="B29" s="16" t="inlineStr">
        <is>
          <t>Crude Data</t>
        </is>
      </c>
    </row>
    <row r="30">
      <c r="B30" s="17" t="inlineStr">
        <is>
          <t>Exposed</t>
        </is>
      </c>
      <c r="C30" s="17" t="inlineStr">
        <is>
          <t>Unexposed</t>
        </is>
      </c>
    </row>
    <row r="31">
      <c r="B31" s="18" t="inlineStr">
        <is>
          <t>Cases</t>
        </is>
      </c>
      <c r="C31" s="24" t="n"/>
      <c r="D31" s="24" t="n"/>
    </row>
    <row r="32">
      <c r="B32" s="18" t="inlineStr">
        <is>
          <t>Non-cases</t>
        </is>
      </c>
      <c r="C32" s="24" t="n"/>
      <c r="D32" s="24" t="n"/>
    </row>
    <row r="33">
      <c r="B33" s="18" t="inlineStr">
        <is>
          <t>Total</t>
        </is>
      </c>
      <c r="C33" s="24" t="n"/>
      <c r="D33" s="24" t="n"/>
    </row>
  </sheetData>
  <mergeCells count="7">
    <mergeCell ref="B20:E20"/>
    <mergeCell ref="B1:N1"/>
    <mergeCell ref="G8:J8"/>
    <mergeCell ref="B29:E29"/>
    <mergeCell ref="G2:J2"/>
    <mergeCell ref="B2:E5"/>
    <mergeCell ref="G14:J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N33"/>
  <sheetViews>
    <sheetView showGridLines="0" workbookViewId="0">
      <selection activeCell="A1" sqref="A1"/>
    </sheetView>
  </sheetViews>
  <sheetFormatPr baseColWidth="8" defaultRowHeight="15"/>
  <cols>
    <col width="3" customWidth="1" min="1" max="1"/>
    <col width="14" customWidth="1" min="2" max="2"/>
    <col width="10" customWidth="1" min="3" max="3"/>
    <col width="10" customWidth="1" min="4" max="4"/>
    <col width="10" customWidth="1" min="5" max="5"/>
    <col width="2" customWidth="1" min="6" max="6"/>
    <col width="14" customWidth="1" min="7" max="7"/>
    <col width="10" customWidth="1" min="8" max="8"/>
    <col width="10" customWidth="1" min="9" max="9"/>
    <col width="10" customWidth="1" min="10" max="10"/>
    <col width="2" customWidth="1" min="11" max="11"/>
    <col width="20" customWidth="1" min="12" max="12"/>
    <col width="12" customWidth="1" min="13" max="13"/>
    <col width="12" customWidth="1" min="14" max="14"/>
  </cols>
  <sheetData>
    <row r="1" ht="28" customHeight="1">
      <c r="B1" s="14" t="inlineStr">
        <is>
          <t>Case-control Data</t>
        </is>
      </c>
    </row>
    <row r="2">
      <c r="B2" s="15" t="inlineStr">
        <is>
          <t>Instructions:
1. Enter frequencies in yellow cells of 2×2 tables.
2. Check entries against crude table below.
3. Results appear in blue cells. CTL-e clears all entries.
Ref: Mod. Epid. 3rd ed. Ch. 15 | Biometrics 1986;42:1323-4</t>
        </is>
      </c>
      <c r="G2" s="16" t="inlineStr">
        <is>
          <t>Stratum 1</t>
        </is>
      </c>
    </row>
    <row r="3">
      <c r="G3" s="17" t="inlineStr">
        <is>
          <t>Cases</t>
        </is>
      </c>
      <c r="H3" s="17" t="inlineStr">
        <is>
          <t>Controls</t>
        </is>
      </c>
      <c r="I3" s="17" t="inlineStr">
        <is>
          <t>Total</t>
        </is>
      </c>
    </row>
    <row r="4">
      <c r="F4" s="18" t="inlineStr">
        <is>
          <t>Exposed</t>
        </is>
      </c>
      <c r="G4" s="19" t="n"/>
      <c r="H4" s="19" t="n"/>
      <c r="I4" s="25">
        <f>G4+H4</f>
        <v/>
      </c>
    </row>
    <row r="5">
      <c r="F5" s="18" t="inlineStr">
        <is>
          <t>Unexposed</t>
        </is>
      </c>
      <c r="G5" s="19" t="n"/>
      <c r="H5" s="19" t="n"/>
      <c r="I5" s="25">
        <f>G5+H5</f>
        <v/>
      </c>
    </row>
    <row r="6">
      <c r="F6" s="18" t="inlineStr">
        <is>
          <t>Total</t>
        </is>
      </c>
      <c r="G6" s="19" t="n"/>
      <c r="H6" s="19" t="n"/>
      <c r="I6" s="25">
        <f>G6+H6</f>
        <v/>
      </c>
    </row>
    <row r="8">
      <c r="G8" s="16" t="inlineStr">
        <is>
          <t>Stratum 2</t>
        </is>
      </c>
    </row>
    <row r="9">
      <c r="G9" s="17" t="inlineStr">
        <is>
          <t>Cases</t>
        </is>
      </c>
      <c r="H9" s="17" t="inlineStr">
        <is>
          <t>Controls</t>
        </is>
      </c>
      <c r="I9" s="17" t="inlineStr">
        <is>
          <t>Total</t>
        </is>
      </c>
    </row>
    <row r="10">
      <c r="F10" s="18" t="inlineStr">
        <is>
          <t>Exposed</t>
        </is>
      </c>
      <c r="G10" s="19" t="n"/>
      <c r="H10" s="19" t="n"/>
      <c r="I10" s="25">
        <f>G10+H10</f>
        <v/>
      </c>
    </row>
    <row r="11">
      <c r="F11" s="18" t="inlineStr">
        <is>
          <t>Unexposed</t>
        </is>
      </c>
      <c r="G11" s="19" t="n"/>
      <c r="H11" s="19" t="n"/>
      <c r="I11" s="25">
        <f>G11+H11</f>
        <v/>
      </c>
    </row>
    <row r="12">
      <c r="F12" s="18" t="inlineStr">
        <is>
          <t>Total</t>
        </is>
      </c>
      <c r="G12" s="19" t="n"/>
      <c r="H12" s="19" t="n"/>
      <c r="I12" s="25">
        <f>G12+H12</f>
        <v/>
      </c>
    </row>
    <row r="14">
      <c r="G14" s="16" t="inlineStr">
        <is>
          <t>Stratum 3</t>
        </is>
      </c>
    </row>
    <row r="15">
      <c r="G15" s="17" t="inlineStr">
        <is>
          <t>Cases</t>
        </is>
      </c>
      <c r="H15" s="17" t="inlineStr">
        <is>
          <t>Controls</t>
        </is>
      </c>
      <c r="I15" s="17" t="inlineStr">
        <is>
          <t>Total</t>
        </is>
      </c>
    </row>
    <row r="16">
      <c r="F16" s="18" t="inlineStr">
        <is>
          <t>Exposed</t>
        </is>
      </c>
      <c r="G16" s="19" t="n"/>
      <c r="H16" s="19" t="n"/>
      <c r="I16" s="25">
        <f>G16+H16</f>
        <v/>
      </c>
    </row>
    <row r="17">
      <c r="F17" s="18" t="inlineStr">
        <is>
          <t>Unexposed</t>
        </is>
      </c>
      <c r="G17" s="19" t="n"/>
      <c r="H17" s="19" t="n"/>
      <c r="I17" s="25">
        <f>G17+H17</f>
        <v/>
      </c>
    </row>
    <row r="18">
      <c r="F18" s="18" t="inlineStr">
        <is>
          <t>Total</t>
        </is>
      </c>
      <c r="G18" s="19" t="n"/>
      <c r="H18" s="19" t="n"/>
      <c r="I18" s="25">
        <f>G18+H18</f>
        <v/>
      </c>
    </row>
    <row r="20">
      <c r="B20" s="20" t="inlineStr">
        <is>
          <t>Results</t>
        </is>
      </c>
    </row>
    <row r="21">
      <c r="B21" s="21" t="inlineStr">
        <is>
          <t>MH Odds Ratio</t>
        </is>
      </c>
      <c r="C21" s="22" t="n"/>
      <c r="D21" s="23">
        <f>NA()</f>
        <v/>
      </c>
    </row>
    <row r="22">
      <c r="B22" s="21" t="inlineStr">
        <is>
          <t>90% Conf. Interv. –</t>
        </is>
      </c>
      <c r="C22" s="22" t="n"/>
      <c r="D22" s="23">
        <f>NA()</f>
        <v/>
      </c>
    </row>
    <row r="23">
      <c r="B23" s="21" t="inlineStr">
        <is>
          <t>90% Conf. Interv. +</t>
        </is>
      </c>
      <c r="C23" s="22" t="n"/>
      <c r="D23" s="23">
        <f>NA()</f>
        <v/>
      </c>
    </row>
    <row r="24">
      <c r="B24" s="21" t="inlineStr">
        <is>
          <t>95% Conf. Interv. –</t>
        </is>
      </c>
      <c r="C24" s="22" t="n"/>
      <c r="D24" s="23">
        <f>NA()</f>
        <v/>
      </c>
    </row>
    <row r="25">
      <c r="B25" s="21" t="inlineStr">
        <is>
          <t>95% Conf. Interv. +</t>
        </is>
      </c>
      <c r="C25" s="22" t="n"/>
      <c r="D25" s="23">
        <f>NA()</f>
        <v/>
      </c>
    </row>
    <row r="26">
      <c r="B26" s="21" t="inlineStr">
        <is>
          <t>P-value homogeneity</t>
        </is>
      </c>
      <c r="C26" s="22" t="n"/>
      <c r="D26" s="23">
        <f>NA()</f>
        <v/>
      </c>
    </row>
    <row r="27">
      <c r="B27" s="21" t="inlineStr">
        <is>
          <t>Crude Odds Ratio</t>
        </is>
      </c>
      <c r="C27" s="22" t="n"/>
      <c r="D27" s="23">
        <f>NA()</f>
        <v/>
      </c>
    </row>
    <row r="29">
      <c r="B29" s="16" t="inlineStr">
        <is>
          <t>Crude Data</t>
        </is>
      </c>
    </row>
    <row r="30">
      <c r="B30" s="17" t="inlineStr">
        <is>
          <t>Cases</t>
        </is>
      </c>
      <c r="C30" s="17" t="inlineStr">
        <is>
          <t>Controls</t>
        </is>
      </c>
    </row>
    <row r="31">
      <c r="B31" s="18" t="inlineStr">
        <is>
          <t>Exposed</t>
        </is>
      </c>
      <c r="C31" s="24" t="n"/>
      <c r="D31" s="24" t="n"/>
    </row>
    <row r="32">
      <c r="B32" s="18" t="inlineStr">
        <is>
          <t>Unexposed</t>
        </is>
      </c>
      <c r="C32" s="24" t="n"/>
      <c r="D32" s="24" t="n"/>
    </row>
    <row r="33">
      <c r="B33" s="18" t="inlineStr">
        <is>
          <t>Total</t>
        </is>
      </c>
      <c r="C33" s="24" t="n"/>
      <c r="D33" s="24" t="n"/>
    </row>
  </sheetData>
  <mergeCells count="7">
    <mergeCell ref="B20:E20"/>
    <mergeCell ref="B1:N1"/>
    <mergeCell ref="G8:J8"/>
    <mergeCell ref="B29:E29"/>
    <mergeCell ref="G2:J2"/>
    <mergeCell ref="B2:E5"/>
    <mergeCell ref="G14:J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M23"/>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2" customWidth="1" min="6" max="6"/>
    <col width="22" customWidth="1" min="7" max="7"/>
    <col width="14" customWidth="1" min="8" max="8"/>
    <col width="14" customWidth="1" min="9" max="9"/>
    <col width="2" customWidth="1" min="10" max="10"/>
    <col width="22" customWidth="1" min="11" max="11"/>
    <col width="14" customWidth="1" min="12" max="12"/>
    <col width="14" customWidth="1" min="13" max="13"/>
  </cols>
  <sheetData>
    <row r="1" ht="28" customHeight="1">
      <c r="B1" s="14" t="inlineStr">
        <is>
          <t>Quickcalc</t>
        </is>
      </c>
    </row>
    <row r="3">
      <c r="B3" s="16" t="inlineStr">
        <is>
          <t>Proportion</t>
        </is>
      </c>
      <c r="G3" s="16" t="inlineStr">
        <is>
          <t>Rate</t>
        </is>
      </c>
      <c r="K3" s="16" t="inlineStr">
        <is>
          <t>SMR</t>
        </is>
      </c>
    </row>
    <row r="4">
      <c r="B4" s="18" t="inlineStr">
        <is>
          <t>Numerator</t>
        </is>
      </c>
      <c r="C4" s="19" t="n">
        <v>10</v>
      </c>
      <c r="G4" s="18" t="inlineStr">
        <is>
          <t>Numerator</t>
        </is>
      </c>
      <c r="H4" s="19" t="n">
        <v>10</v>
      </c>
      <c r="K4" s="18" t="inlineStr">
        <is>
          <t>Observed</t>
        </is>
      </c>
      <c r="L4" s="19" t="n">
        <v>10</v>
      </c>
    </row>
    <row r="5">
      <c r="B5" s="18" t="inlineStr">
        <is>
          <t>Denominator</t>
        </is>
      </c>
      <c r="C5" s="19" t="n">
        <v>100</v>
      </c>
      <c r="G5" s="18" t="inlineStr">
        <is>
          <t>Denominator</t>
        </is>
      </c>
      <c r="H5" s="19" t="n">
        <v>100</v>
      </c>
      <c r="K5" s="18" t="inlineStr">
        <is>
          <t>Expected</t>
        </is>
      </c>
      <c r="L5" s="19" t="n">
        <v>100</v>
      </c>
    </row>
    <row r="6">
      <c r="B6" s="18" t="inlineStr">
        <is>
          <t>Conf. Level (%)</t>
        </is>
      </c>
      <c r="C6" s="19" t="n">
        <v>95</v>
      </c>
      <c r="G6" s="18" t="inlineStr">
        <is>
          <t>Conf. Level (%)</t>
        </is>
      </c>
      <c r="H6" s="19" t="n">
        <v>95</v>
      </c>
      <c r="K6" s="18" t="inlineStr">
        <is>
          <t>Conf. Level (%)</t>
        </is>
      </c>
      <c r="L6" s="19" t="n">
        <v>95</v>
      </c>
    </row>
    <row r="8">
      <c r="B8" s="20" t="inlineStr">
        <is>
          <t>Results</t>
        </is>
      </c>
      <c r="G8" s="20" t="inlineStr">
        <is>
          <t>Results</t>
        </is>
      </c>
      <c r="K8" s="20" t="inlineStr">
        <is>
          <t>Results</t>
        </is>
      </c>
    </row>
    <row r="9">
      <c r="B9" s="18" t="inlineStr">
        <is>
          <t>Point Estimate</t>
        </is>
      </c>
      <c r="C9" s="23" t="inlineStr"/>
      <c r="G9" s="18" t="inlineStr">
        <is>
          <t>Point Estimate</t>
        </is>
      </c>
      <c r="H9" s="23" t="inlineStr"/>
      <c r="K9" s="18" t="inlineStr">
        <is>
          <t>Point Estimate</t>
        </is>
      </c>
      <c r="L9" s="23" t="inlineStr"/>
    </row>
    <row r="10">
      <c r="B10" s="18" t="inlineStr">
        <is>
          <t>Mid-P Lower</t>
        </is>
      </c>
      <c r="C10" s="23" t="inlineStr"/>
      <c r="G10" s="18" t="inlineStr">
        <is>
          <t>Mid-P Lower</t>
        </is>
      </c>
      <c r="H10" s="23" t="inlineStr"/>
      <c r="K10" s="18" t="inlineStr">
        <is>
          <t>Mid-P Lower</t>
        </is>
      </c>
      <c r="L10" s="23" t="inlineStr"/>
    </row>
    <row r="11">
      <c r="B11" s="18" t="inlineStr">
        <is>
          <t>Mid-P Upper</t>
        </is>
      </c>
      <c r="C11" s="23" t="inlineStr"/>
      <c r="G11" s="18" t="inlineStr">
        <is>
          <t>Mid-P Upper</t>
        </is>
      </c>
      <c r="H11" s="23" t="inlineStr"/>
      <c r="K11" s="18" t="inlineStr">
        <is>
          <t>Mid-P Upper</t>
        </is>
      </c>
      <c r="L11" s="23" t="inlineStr"/>
    </row>
    <row r="12">
      <c r="B12" s="18" t="inlineStr">
        <is>
          <t>Fisher Lower</t>
        </is>
      </c>
      <c r="C12" s="23" t="inlineStr"/>
      <c r="G12" s="18" t="inlineStr">
        <is>
          <t>Fisher Lower</t>
        </is>
      </c>
      <c r="H12" s="23" t="inlineStr"/>
      <c r="K12" s="18" t="inlineStr">
        <is>
          <t>Fisher Lower</t>
        </is>
      </c>
      <c r="L12" s="23" t="inlineStr"/>
    </row>
    <row r="13">
      <c r="B13" s="18" t="inlineStr">
        <is>
          <t>Fisher Upper</t>
        </is>
      </c>
      <c r="C13" s="23" t="inlineStr"/>
      <c r="G13" s="18" t="inlineStr">
        <is>
          <t>Fisher Upper</t>
        </is>
      </c>
      <c r="H13" s="23" t="inlineStr"/>
      <c r="K13" s="18" t="inlineStr">
        <is>
          <t>Fisher Upper</t>
        </is>
      </c>
      <c r="L13" s="23" t="inlineStr"/>
    </row>
    <row r="14">
      <c r="B14" s="18" t="inlineStr">
        <is>
          <t>Approx Lower</t>
        </is>
      </c>
      <c r="C14" s="23" t="inlineStr"/>
      <c r="G14" s="18" t="inlineStr">
        <is>
          <t>Approx Lower</t>
        </is>
      </c>
      <c r="H14" s="23" t="inlineStr"/>
      <c r="K14" s="18" t="inlineStr">
        <is>
          <t>Approx Lower</t>
        </is>
      </c>
      <c r="L14" s="23" t="inlineStr"/>
    </row>
    <row r="15">
      <c r="B15" s="18" t="inlineStr">
        <is>
          <t>Approx Upper</t>
        </is>
      </c>
      <c r="C15" s="23" t="inlineStr"/>
      <c r="G15" s="18" t="inlineStr">
        <is>
          <t>Approx Upper</t>
        </is>
      </c>
      <c r="H15" s="23" t="inlineStr"/>
      <c r="K15" s="18" t="inlineStr">
        <is>
          <t>Approx Upper</t>
        </is>
      </c>
      <c r="L15" s="23" t="inlineStr"/>
    </row>
    <row r="16">
      <c r="B16" s="18" t="inlineStr">
        <is>
          <t>Exact 2-tail P (Mid-P)</t>
        </is>
      </c>
      <c r="C16" s="23" t="inlineStr"/>
      <c r="G16" s="18" t="inlineStr">
        <is>
          <t>Exact 2-tail P (Mid-P)</t>
        </is>
      </c>
      <c r="H16" s="23" t="inlineStr"/>
      <c r="K16" s="18" t="inlineStr">
        <is>
          <t>Exact 2-tail P (Mid-P)</t>
        </is>
      </c>
      <c r="L16" s="23" t="inlineStr"/>
    </row>
    <row r="17">
      <c r="B17" s="18" t="inlineStr">
        <is>
          <t>Exact 2-tail P (Fisher)</t>
        </is>
      </c>
      <c r="C17" s="23" t="inlineStr"/>
      <c r="G17" s="18" t="inlineStr">
        <is>
          <t>Exact 2-tail P (Fisher)</t>
        </is>
      </c>
      <c r="H17" s="23" t="inlineStr"/>
      <c r="K17" s="18" t="inlineStr">
        <is>
          <t>Exact 2-tail P (Fisher)</t>
        </is>
      </c>
      <c r="L17" s="23" t="inlineStr"/>
    </row>
    <row r="20">
      <c r="B20" s="16" t="inlineStr">
        <is>
          <t>Std Normal Deviate</t>
        </is>
      </c>
      <c r="G20" s="16" t="inlineStr">
        <is>
          <t>Chi-Square</t>
        </is>
      </c>
    </row>
    <row r="21">
      <c r="B21" s="26" t="inlineStr">
        <is>
          <t>Value</t>
        </is>
      </c>
      <c r="C21" s="26" t="inlineStr">
        <is>
          <t>DF</t>
        </is>
      </c>
      <c r="G21" s="26" t="inlineStr">
        <is>
          <t>Value</t>
        </is>
      </c>
      <c r="H21" s="26" t="inlineStr">
        <is>
          <t>DF</t>
        </is>
      </c>
    </row>
    <row r="22">
      <c r="B22" s="19" t="n"/>
      <c r="C22" s="19" t="n"/>
      <c r="G22" s="19" t="n"/>
      <c r="H22" s="19" t="n"/>
    </row>
    <row r="23">
      <c r="B23" s="26" t="inlineStr">
        <is>
          <t>P-value</t>
        </is>
      </c>
      <c r="C23" s="23" t="inlineStr"/>
      <c r="G23" s="26" t="inlineStr">
        <is>
          <t>P-value</t>
        </is>
      </c>
      <c r="H23" s="23" t="inlineStr"/>
    </row>
  </sheetData>
  <mergeCells count="7">
    <mergeCell ref="K8:M8"/>
    <mergeCell ref="B3:D3"/>
    <mergeCell ref="K3:M3"/>
    <mergeCell ref="B8:D8"/>
    <mergeCell ref="G8:I8"/>
    <mergeCell ref="G3:I3"/>
    <mergeCell ref="B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F22"/>
  <sheetViews>
    <sheetView showGridLines="0" workbookViewId="0">
      <selection activeCell="A1" sqref="A1"/>
    </sheetView>
  </sheetViews>
  <sheetFormatPr baseColWidth="8" defaultRowHeight="15"/>
  <cols>
    <col width="3" customWidth="1" min="1" max="1"/>
    <col width="18" customWidth="1" min="2" max="2"/>
    <col width="14" customWidth="1" min="3" max="3"/>
    <col width="14" customWidth="1" min="4" max="4"/>
    <col width="14" customWidth="1" min="5" max="5"/>
    <col width="14" customWidth="1" min="6" max="6"/>
  </cols>
  <sheetData>
    <row r="1" ht="28" customHeight="1">
      <c r="B1" s="14" t="inlineStr">
        <is>
          <t>Exact Confidence Limits for the Odds Ratio</t>
        </is>
      </c>
    </row>
    <row r="2">
      <c r="B2" s="15" t="inlineStr">
        <is>
          <t>Instructions:
Enter values in yellow cells.
Results appear in red below.
Reference: Cornfield 1956, J Chron Dis.</t>
        </is>
      </c>
    </row>
    <row r="3"/>
    <row r="4"/>
    <row r="5"/>
    <row r="7">
      <c r="C7" s="16" t="inlineStr">
        <is>
          <t>Exposed</t>
        </is>
      </c>
      <c r="D7" s="16" t="inlineStr">
        <is>
          <t>Nonexposed</t>
        </is>
      </c>
      <c r="E7" s="16" t="inlineStr">
        <is>
          <t>Total</t>
        </is>
      </c>
    </row>
    <row r="8">
      <c r="B8" s="27" t="inlineStr">
        <is>
          <t>Disease</t>
        </is>
      </c>
      <c r="C8" s="19" t="n">
        <v>4</v>
      </c>
      <c r="D8" s="19" t="n">
        <v>386</v>
      </c>
      <c r="E8" s="28">
        <f>C8+D8</f>
        <v/>
      </c>
    </row>
    <row r="9">
      <c r="B9" s="27" t="inlineStr">
        <is>
          <t>Non-Disease</t>
        </is>
      </c>
      <c r="C9" s="19" t="n">
        <v>8</v>
      </c>
      <c r="D9" s="19" t="n">
        <v>1636</v>
      </c>
      <c r="E9" s="28">
        <f>C9+D9</f>
        <v/>
      </c>
    </row>
    <row r="10">
      <c r="B10" s="27" t="inlineStr">
        <is>
          <t>Total</t>
        </is>
      </c>
      <c r="C10" s="28">
        <f>C8+C9</f>
        <v/>
      </c>
      <c r="D10" s="28">
        <f>D8+D9</f>
        <v/>
      </c>
      <c r="E10" s="28">
        <f>C10+D10</f>
        <v/>
      </c>
    </row>
    <row r="12">
      <c r="B12" s="29">
        <f>IF(AND(ISNUMBER(C8),ISNUMBER(D8),ISNUMBER(C9),ISNUMBER(D9)),"Odds Ratio  =   "&amp;ROUND((C8*D9)/(D8*C9),4),"")</f>
        <v/>
      </c>
    </row>
    <row r="14">
      <c r="B14" s="20" t="inlineStr">
        <is>
          <t>Exact Confidence Intervals</t>
        </is>
      </c>
    </row>
    <row r="15">
      <c r="C15" s="16" t="inlineStr">
        <is>
          <t>Mid-P Lower</t>
        </is>
      </c>
      <c r="D15" s="16" t="inlineStr">
        <is>
          <t>Mid-P Upper</t>
        </is>
      </c>
      <c r="E15" s="16" t="inlineStr">
        <is>
          <t>Fisher Lower</t>
        </is>
      </c>
      <c r="F15" s="16" t="inlineStr">
        <is>
          <t>Fisher Upper</t>
        </is>
      </c>
    </row>
    <row r="16">
      <c r="B16" s="27" t="inlineStr">
        <is>
          <t>90%</t>
        </is>
      </c>
      <c r="C16" s="23" t="inlineStr"/>
      <c r="D16" s="23" t="inlineStr"/>
      <c r="E16" s="23" t="inlineStr"/>
      <c r="F16" s="23" t="inlineStr"/>
    </row>
    <row r="17">
      <c r="B17" s="27" t="inlineStr">
        <is>
          <t>95%</t>
        </is>
      </c>
      <c r="C17" s="23" t="inlineStr"/>
      <c r="D17" s="23" t="inlineStr"/>
      <c r="E17" s="23" t="inlineStr"/>
      <c r="F17" s="23" t="inlineStr"/>
    </row>
    <row r="19">
      <c r="B19" s="30" t="inlineStr">
        <is>
          <t>Exact 2-tail P-value  *</t>
        </is>
      </c>
    </row>
    <row r="20">
      <c r="C20" s="16" t="inlineStr">
        <is>
          <t>Mid-P</t>
        </is>
      </c>
      <c r="D20" s="16" t="inlineStr">
        <is>
          <t>Fisher</t>
        </is>
      </c>
    </row>
    <row r="21">
      <c r="C21" s="23" t="inlineStr"/>
      <c r="D21" s="23" t="inlineStr"/>
    </row>
    <row r="22">
      <c r="B22" s="31" t="inlineStr">
        <is>
          <t>* Calculated by taking twice the single-tail P-value</t>
        </is>
      </c>
    </row>
  </sheetData>
  <mergeCells count="5">
    <mergeCell ref="B12:F12"/>
    <mergeCell ref="B2:C5"/>
    <mergeCell ref="B19:F19"/>
    <mergeCell ref="B1:F1"/>
    <mergeCell ref="B14:F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V68"/>
  <sheetViews>
    <sheetView showGridLines="0" workbookViewId="0">
      <selection activeCell="A1" sqref="A1"/>
    </sheetView>
  </sheetViews>
  <sheetFormatPr baseColWidth="8" defaultRowHeight="15"/>
  <cols>
    <col width="12" customWidth="1" min="2" max="2"/>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s>
  <sheetData>
    <row r="1" ht="28" customHeight="1">
      <c r="B1" s="14" t="inlineStr">
        <is>
          <t>Standardization</t>
        </is>
      </c>
    </row>
    <row r="2">
      <c r="B2" s="15" t="inlineStr">
        <is>
          <t>Instructions:
In cell G6, enter R for rates or P for proportions, then enter in rows 20 and after: numerators, denominators, and weights for each stratum. Groups are exposure categories. Results appear in rows 8-17. Ctrl-e clears entries.
Ref: Rothman KJ and Greenland S: Modern Epidemiology, 3rd edition, chap. 15</t>
        </is>
      </c>
    </row>
    <row r="3"/>
    <row r="4"/>
    <row r="5"/>
    <row r="6"/>
    <row r="7"/>
    <row r="8">
      <c r="H8" s="32" t="inlineStr">
        <is>
          <t>Group 1
(Reference)</t>
        </is>
      </c>
      <c r="K8" s="32" t="inlineStr">
        <is>
          <t>Group 2</t>
        </is>
      </c>
      <c r="N8" s="32" t="inlineStr">
        <is>
          <t>Group 3</t>
        </is>
      </c>
      <c r="Q8" s="32" t="inlineStr">
        <is>
          <t>Group 4</t>
        </is>
      </c>
      <c r="T8" s="32" t="inlineStr">
        <is>
          <t>Group 5</t>
        </is>
      </c>
    </row>
    <row r="9">
      <c r="G9" s="33" t="inlineStr">
        <is>
          <t>R</t>
        </is>
      </c>
      <c r="H9" s="17" t="inlineStr">
        <is>
          <t>Rate/Prop</t>
        </is>
      </c>
      <c r="I9" s="17" t="inlineStr">
        <is>
          <t>SD</t>
        </is>
      </c>
      <c r="J9" s="17" t="inlineStr">
        <is>
          <t>RR/RD</t>
        </is>
      </c>
      <c r="K9" s="17" t="inlineStr">
        <is>
          <t>Rate/Prop</t>
        </is>
      </c>
      <c r="L9" s="17" t="inlineStr">
        <is>
          <t>SD</t>
        </is>
      </c>
      <c r="M9" s="17" t="inlineStr">
        <is>
          <t>RR/RD</t>
        </is>
      </c>
      <c r="N9" s="17" t="inlineStr">
        <is>
          <t>Rate/Prop</t>
        </is>
      </c>
      <c r="O9" s="17" t="inlineStr">
        <is>
          <t>SD</t>
        </is>
      </c>
      <c r="P9" s="17" t="inlineStr">
        <is>
          <t>RR/RD</t>
        </is>
      </c>
      <c r="Q9" s="17" t="inlineStr">
        <is>
          <t>Rate/Prop</t>
        </is>
      </c>
      <c r="R9" s="17" t="inlineStr">
        <is>
          <t>SD</t>
        </is>
      </c>
      <c r="S9" s="17" t="inlineStr">
        <is>
          <t>RR/RD</t>
        </is>
      </c>
      <c r="T9" s="17" t="inlineStr">
        <is>
          <t>Rate/Prop</t>
        </is>
      </c>
      <c r="U9" s="17" t="inlineStr">
        <is>
          <t>SD</t>
        </is>
      </c>
      <c r="V9" s="17" t="inlineStr">
        <is>
          <t>RR/RD</t>
        </is>
      </c>
    </row>
    <row r="10">
      <c r="B10" s="18" t="inlineStr">
        <is>
          <t>Adjusted Estimate</t>
        </is>
      </c>
      <c r="H10" s="23" t="inlineStr"/>
      <c r="I10" s="23" t="inlineStr"/>
      <c r="J10" s="23" t="inlineStr"/>
      <c r="K10" s="23" t="inlineStr"/>
      <c r="L10" s="23" t="inlineStr"/>
      <c r="M10" s="23" t="inlineStr"/>
      <c r="N10" s="23" t="inlineStr"/>
      <c r="O10" s="23" t="inlineStr"/>
      <c r="P10" s="23" t="inlineStr"/>
      <c r="Q10" s="23" t="inlineStr"/>
      <c r="R10" s="23" t="inlineStr"/>
      <c r="S10" s="23" t="inlineStr"/>
      <c r="T10" s="23" t="inlineStr"/>
      <c r="U10" s="23" t="inlineStr"/>
      <c r="V10" s="23" t="inlineStr"/>
    </row>
    <row r="11">
      <c r="B11" s="18" t="inlineStr">
        <is>
          <t>85% Lower Limit</t>
        </is>
      </c>
      <c r="H11" s="23" t="inlineStr"/>
      <c r="I11" s="23" t="inlineStr"/>
      <c r="J11" s="23" t="inlineStr"/>
      <c r="K11" s="23" t="inlineStr"/>
      <c r="L11" s="23" t="inlineStr"/>
      <c r="M11" s="23" t="inlineStr"/>
      <c r="N11" s="23" t="inlineStr"/>
      <c r="O11" s="23" t="inlineStr"/>
      <c r="P11" s="23" t="inlineStr"/>
      <c r="Q11" s="23" t="inlineStr"/>
      <c r="R11" s="23" t="inlineStr"/>
      <c r="S11" s="23" t="inlineStr"/>
      <c r="T11" s="23" t="inlineStr"/>
      <c r="U11" s="23" t="inlineStr"/>
      <c r="V11" s="23" t="inlineStr"/>
    </row>
    <row r="12">
      <c r="B12" s="18" t="inlineStr">
        <is>
          <t>85% Upper Limit</t>
        </is>
      </c>
      <c r="H12" s="23" t="inlineStr"/>
      <c r="I12" s="23" t="inlineStr"/>
      <c r="J12" s="23" t="inlineStr"/>
      <c r="K12" s="23" t="inlineStr"/>
      <c r="L12" s="23" t="inlineStr"/>
      <c r="M12" s="23" t="inlineStr"/>
      <c r="N12" s="23" t="inlineStr"/>
      <c r="O12" s="23" t="inlineStr"/>
      <c r="P12" s="23" t="inlineStr"/>
      <c r="Q12" s="23" t="inlineStr"/>
      <c r="R12" s="23" t="inlineStr"/>
      <c r="S12" s="23" t="inlineStr"/>
      <c r="T12" s="23" t="inlineStr"/>
      <c r="U12" s="23" t="inlineStr"/>
      <c r="V12" s="23" t="inlineStr"/>
    </row>
    <row r="13">
      <c r="B13" s="18" t="inlineStr">
        <is>
          <t>90% Lower Limit</t>
        </is>
      </c>
      <c r="H13" s="23" t="inlineStr"/>
      <c r="I13" s="23" t="inlineStr"/>
      <c r="J13" s="23" t="inlineStr"/>
      <c r="K13" s="23" t="inlineStr"/>
      <c r="L13" s="23" t="inlineStr"/>
      <c r="M13" s="23" t="inlineStr"/>
      <c r="N13" s="23" t="inlineStr"/>
      <c r="O13" s="23" t="inlineStr"/>
      <c r="P13" s="23" t="inlineStr"/>
      <c r="Q13" s="23" t="inlineStr"/>
      <c r="R13" s="23" t="inlineStr"/>
      <c r="S13" s="23" t="inlineStr"/>
      <c r="T13" s="23" t="inlineStr"/>
      <c r="U13" s="23" t="inlineStr"/>
      <c r="V13" s="23" t="inlineStr"/>
    </row>
    <row r="14">
      <c r="B14" s="18" t="inlineStr">
        <is>
          <t>90% Upper Limit</t>
        </is>
      </c>
      <c r="H14" s="23" t="inlineStr"/>
      <c r="I14" s="23" t="inlineStr"/>
      <c r="J14" s="23" t="inlineStr"/>
      <c r="K14" s="23" t="inlineStr"/>
      <c r="L14" s="23" t="inlineStr"/>
      <c r="M14" s="23" t="inlineStr"/>
      <c r="N14" s="23" t="inlineStr"/>
      <c r="O14" s="23" t="inlineStr"/>
      <c r="P14" s="23" t="inlineStr"/>
      <c r="Q14" s="23" t="inlineStr"/>
      <c r="R14" s="23" t="inlineStr"/>
      <c r="S14" s="23" t="inlineStr"/>
      <c r="T14" s="23" t="inlineStr"/>
      <c r="U14" s="23" t="inlineStr"/>
      <c r="V14" s="23" t="inlineStr"/>
    </row>
    <row r="15">
      <c r="B15" s="18" t="inlineStr">
        <is>
          <t>95% Lower Limit</t>
        </is>
      </c>
      <c r="H15" s="23" t="inlineStr"/>
      <c r="I15" s="23" t="inlineStr"/>
      <c r="J15" s="23" t="inlineStr"/>
      <c r="K15" s="23" t="inlineStr"/>
      <c r="L15" s="23" t="inlineStr"/>
      <c r="M15" s="23" t="inlineStr"/>
      <c r="N15" s="23" t="inlineStr"/>
      <c r="O15" s="23" t="inlineStr"/>
      <c r="P15" s="23" t="inlineStr"/>
      <c r="Q15" s="23" t="inlineStr"/>
      <c r="R15" s="23" t="inlineStr"/>
      <c r="S15" s="23" t="inlineStr"/>
      <c r="T15" s="23" t="inlineStr"/>
      <c r="U15" s="23" t="inlineStr"/>
      <c r="V15" s="23" t="inlineStr"/>
    </row>
    <row r="16">
      <c r="B16" s="18" t="inlineStr">
        <is>
          <t>95% Upper Limit</t>
        </is>
      </c>
      <c r="H16" s="23" t="inlineStr"/>
      <c r="I16" s="23" t="inlineStr"/>
      <c r="J16" s="23" t="inlineStr"/>
      <c r="K16" s="23" t="inlineStr"/>
      <c r="L16" s="23" t="inlineStr"/>
      <c r="M16" s="23" t="inlineStr"/>
      <c r="N16" s="23" t="inlineStr"/>
      <c r="O16" s="23" t="inlineStr"/>
      <c r="P16" s="23" t="inlineStr"/>
      <c r="Q16" s="23" t="inlineStr"/>
      <c r="R16" s="23" t="inlineStr"/>
      <c r="S16" s="23" t="inlineStr"/>
      <c r="T16" s="23" t="inlineStr"/>
      <c r="U16" s="23" t="inlineStr"/>
      <c r="V16" s="23" t="inlineStr"/>
    </row>
    <row r="17">
      <c r="B17" s="18" t="inlineStr">
        <is>
          <t>99% Lower Limit</t>
        </is>
      </c>
      <c r="H17" s="23" t="inlineStr"/>
      <c r="I17" s="23" t="inlineStr"/>
      <c r="J17" s="23" t="inlineStr"/>
      <c r="K17" s="23" t="inlineStr"/>
      <c r="L17" s="23" t="inlineStr"/>
      <c r="M17" s="23" t="inlineStr"/>
      <c r="N17" s="23" t="inlineStr"/>
      <c r="O17" s="23" t="inlineStr"/>
      <c r="P17" s="23" t="inlineStr"/>
      <c r="Q17" s="23" t="inlineStr"/>
      <c r="R17" s="23" t="inlineStr"/>
      <c r="S17" s="23" t="inlineStr"/>
      <c r="T17" s="23" t="inlineStr"/>
      <c r="U17" s="23" t="inlineStr"/>
      <c r="V17" s="23" t="inlineStr"/>
    </row>
    <row r="18">
      <c r="B18" s="18" t="inlineStr">
        <is>
          <t>99% Upper Limit</t>
        </is>
      </c>
      <c r="H18" s="23" t="inlineStr"/>
      <c r="I18" s="23" t="inlineStr"/>
      <c r="J18" s="23" t="inlineStr"/>
      <c r="K18" s="23" t="inlineStr"/>
      <c r="L18" s="23" t="inlineStr"/>
      <c r="M18" s="23" t="inlineStr"/>
      <c r="N18" s="23" t="inlineStr"/>
      <c r="O18" s="23" t="inlineStr"/>
      <c r="P18" s="23" t="inlineStr"/>
      <c r="Q18" s="23" t="inlineStr"/>
      <c r="R18" s="23" t="inlineStr"/>
      <c r="S18" s="23" t="inlineStr"/>
      <c r="T18" s="23" t="inlineStr"/>
      <c r="U18" s="23" t="inlineStr"/>
      <c r="V18" s="23" t="inlineStr"/>
    </row>
    <row r="19">
      <c r="B19" s="16" t="inlineStr">
        <is>
          <t>Strata data — enter numerator, denominator, weight per stratum</t>
        </is>
      </c>
    </row>
    <row r="20">
      <c r="B20" s="34" t="inlineStr">
        <is>
          <t>Stratum</t>
        </is>
      </c>
      <c r="H20" s="35" t="inlineStr">
        <is>
          <t>Num</t>
        </is>
      </c>
      <c r="I20" s="35" t="inlineStr">
        <is>
          <t>Den</t>
        </is>
      </c>
      <c r="J20" s="36" t="inlineStr">
        <is>
          <t>Wt</t>
        </is>
      </c>
      <c r="K20" s="35" t="inlineStr">
        <is>
          <t>Num</t>
        </is>
      </c>
      <c r="L20" s="35" t="inlineStr">
        <is>
          <t>Den</t>
        </is>
      </c>
      <c r="M20" s="36" t="inlineStr">
        <is>
          <t>Wt</t>
        </is>
      </c>
      <c r="N20" s="35" t="inlineStr">
        <is>
          <t>Num</t>
        </is>
      </c>
      <c r="O20" s="35" t="inlineStr">
        <is>
          <t>Den</t>
        </is>
      </c>
      <c r="P20" s="36" t="inlineStr">
        <is>
          <t>Wt</t>
        </is>
      </c>
      <c r="Q20" s="35" t="inlineStr">
        <is>
          <t>Num</t>
        </is>
      </c>
      <c r="R20" s="35" t="inlineStr">
        <is>
          <t>Den</t>
        </is>
      </c>
      <c r="S20" s="36" t="inlineStr">
        <is>
          <t>Wt</t>
        </is>
      </c>
      <c r="T20" s="35" t="inlineStr">
        <is>
          <t>Num</t>
        </is>
      </c>
      <c r="U20" s="35" t="inlineStr">
        <is>
          <t>Den</t>
        </is>
      </c>
      <c r="V20" s="36" t="inlineStr">
        <is>
          <t>Wt</t>
        </is>
      </c>
    </row>
    <row r="21">
      <c r="B21" s="18" t="n">
        <v>1</v>
      </c>
      <c r="H21" s="19" t="n"/>
      <c r="I21" s="19" t="n"/>
      <c r="J21" s="37" t="n"/>
      <c r="K21" s="19" t="n"/>
      <c r="L21" s="19" t="n"/>
      <c r="M21" s="37" t="n"/>
      <c r="N21" s="19" t="n"/>
      <c r="O21" s="19" t="n"/>
      <c r="P21" s="37" t="n"/>
      <c r="Q21" s="19" t="n"/>
      <c r="R21" s="19" t="n"/>
      <c r="S21" s="37" t="n"/>
      <c r="T21" s="19" t="n"/>
      <c r="U21" s="19" t="n"/>
      <c r="V21" s="37" t="n"/>
    </row>
    <row r="22">
      <c r="B22" s="18" t="n">
        <v>2</v>
      </c>
      <c r="H22" s="19" t="n"/>
      <c r="I22" s="19" t="n"/>
      <c r="J22" s="38" t="n"/>
      <c r="K22" s="19" t="n"/>
      <c r="L22" s="19" t="n"/>
      <c r="M22" s="38" t="n"/>
      <c r="N22" s="19" t="n"/>
      <c r="O22" s="19" t="n"/>
      <c r="P22" s="38" t="n"/>
      <c r="Q22" s="19" t="n"/>
      <c r="R22" s="19" t="n"/>
      <c r="S22" s="38" t="n"/>
      <c r="T22" s="19" t="n"/>
      <c r="U22" s="19" t="n"/>
      <c r="V22" s="38" t="n"/>
    </row>
    <row r="23">
      <c r="B23" s="18" t="n">
        <v>3</v>
      </c>
      <c r="H23" s="19" t="n"/>
      <c r="I23" s="19" t="n"/>
      <c r="J23" s="37" t="n"/>
      <c r="K23" s="19" t="n"/>
      <c r="L23" s="19" t="n"/>
      <c r="M23" s="37" t="n"/>
      <c r="N23" s="19" t="n"/>
      <c r="O23" s="19" t="n"/>
      <c r="P23" s="37" t="n"/>
      <c r="Q23" s="19" t="n"/>
      <c r="R23" s="19" t="n"/>
      <c r="S23" s="37" t="n"/>
      <c r="T23" s="19" t="n"/>
      <c r="U23" s="19" t="n"/>
      <c r="V23" s="37" t="n"/>
    </row>
    <row r="24">
      <c r="B24" s="18" t="n">
        <v>4</v>
      </c>
      <c r="H24" s="19" t="n"/>
      <c r="I24" s="19" t="n"/>
      <c r="J24" s="38" t="n"/>
      <c r="K24" s="19" t="n"/>
      <c r="L24" s="19" t="n"/>
      <c r="M24" s="38" t="n"/>
      <c r="N24" s="19" t="n"/>
      <c r="O24" s="19" t="n"/>
      <c r="P24" s="38" t="n"/>
      <c r="Q24" s="19" t="n"/>
      <c r="R24" s="19" t="n"/>
      <c r="S24" s="38" t="n"/>
      <c r="T24" s="19" t="n"/>
      <c r="U24" s="19" t="n"/>
      <c r="V24" s="38" t="n"/>
    </row>
    <row r="25">
      <c r="B25" s="18" t="n">
        <v>5</v>
      </c>
      <c r="H25" s="19" t="n"/>
      <c r="I25" s="19" t="n"/>
      <c r="J25" s="37" t="n"/>
      <c r="K25" s="19" t="n"/>
      <c r="L25" s="19" t="n"/>
      <c r="M25" s="37" t="n"/>
      <c r="N25" s="19" t="n"/>
      <c r="O25" s="19" t="n"/>
      <c r="P25" s="37" t="n"/>
      <c r="Q25" s="19" t="n"/>
      <c r="R25" s="19" t="n"/>
      <c r="S25" s="37" t="n"/>
      <c r="T25" s="19" t="n"/>
      <c r="U25" s="19" t="n"/>
      <c r="V25" s="37" t="n"/>
    </row>
    <row r="26">
      <c r="B26" s="18" t="n">
        <v>6</v>
      </c>
      <c r="H26" s="19" t="n"/>
      <c r="I26" s="19" t="n"/>
      <c r="J26" s="38" t="n"/>
      <c r="K26" s="19" t="n"/>
      <c r="L26" s="19" t="n"/>
      <c r="M26" s="38" t="n"/>
      <c r="N26" s="19" t="n"/>
      <c r="O26" s="19" t="n"/>
      <c r="P26" s="38" t="n"/>
      <c r="Q26" s="19" t="n"/>
      <c r="R26" s="19" t="n"/>
      <c r="S26" s="38" t="n"/>
      <c r="T26" s="19" t="n"/>
      <c r="U26" s="19" t="n"/>
      <c r="V26" s="38" t="n"/>
    </row>
    <row r="27">
      <c r="B27" s="18" t="n">
        <v>7</v>
      </c>
      <c r="H27" s="19" t="n"/>
      <c r="I27" s="19" t="n"/>
      <c r="J27" s="37" t="n"/>
      <c r="K27" s="19" t="n"/>
      <c r="L27" s="19" t="n"/>
      <c r="M27" s="37" t="n"/>
      <c r="N27" s="19" t="n"/>
      <c r="O27" s="19" t="n"/>
      <c r="P27" s="37" t="n"/>
      <c r="Q27" s="19" t="n"/>
      <c r="R27" s="19" t="n"/>
      <c r="S27" s="37" t="n"/>
      <c r="T27" s="19" t="n"/>
      <c r="U27" s="19" t="n"/>
      <c r="V27" s="37" t="n"/>
    </row>
    <row r="28">
      <c r="B28" s="18" t="n">
        <v>8</v>
      </c>
      <c r="H28" s="19" t="n"/>
      <c r="I28" s="19" t="n"/>
      <c r="J28" s="38" t="n"/>
      <c r="K28" s="19" t="n"/>
      <c r="L28" s="19" t="n"/>
      <c r="M28" s="38" t="n"/>
      <c r="N28" s="19" t="n"/>
      <c r="O28" s="19" t="n"/>
      <c r="P28" s="38" t="n"/>
      <c r="Q28" s="19" t="n"/>
      <c r="R28" s="19" t="n"/>
      <c r="S28" s="38" t="n"/>
      <c r="T28" s="19" t="n"/>
      <c r="U28" s="19" t="n"/>
      <c r="V28" s="38" t="n"/>
    </row>
    <row r="29">
      <c r="B29" s="18" t="n">
        <v>9</v>
      </c>
      <c r="H29" s="19" t="n"/>
      <c r="I29" s="19" t="n"/>
      <c r="J29" s="37" t="n"/>
      <c r="K29" s="19" t="n"/>
      <c r="L29" s="19" t="n"/>
      <c r="M29" s="37" t="n"/>
      <c r="N29" s="19" t="n"/>
      <c r="O29" s="19" t="n"/>
      <c r="P29" s="37" t="n"/>
      <c r="Q29" s="19" t="n"/>
      <c r="R29" s="19" t="n"/>
      <c r="S29" s="37" t="n"/>
      <c r="T29" s="19" t="n"/>
      <c r="U29" s="19" t="n"/>
      <c r="V29" s="37" t="n"/>
    </row>
    <row r="30">
      <c r="B30" s="18" t="n">
        <v>10</v>
      </c>
      <c r="H30" s="19" t="n"/>
      <c r="I30" s="19" t="n"/>
      <c r="J30" s="38" t="n"/>
      <c r="K30" s="19" t="n"/>
      <c r="L30" s="19" t="n"/>
      <c r="M30" s="38" t="n"/>
      <c r="N30" s="19" t="n"/>
      <c r="O30" s="19" t="n"/>
      <c r="P30" s="38" t="n"/>
      <c r="Q30" s="19" t="n"/>
      <c r="R30" s="19" t="n"/>
      <c r="S30" s="38" t="n"/>
      <c r="T30" s="19" t="n"/>
      <c r="U30" s="19" t="n"/>
      <c r="V30" s="38" t="n"/>
    </row>
    <row r="31">
      <c r="B31" s="18" t="n">
        <v>11</v>
      </c>
      <c r="H31" s="19" t="n"/>
      <c r="I31" s="19" t="n"/>
      <c r="J31" s="37" t="n"/>
      <c r="K31" s="19" t="n"/>
      <c r="L31" s="19" t="n"/>
      <c r="M31" s="37" t="n"/>
      <c r="N31" s="19" t="n"/>
      <c r="O31" s="19" t="n"/>
      <c r="P31" s="37" t="n"/>
      <c r="Q31" s="19" t="n"/>
      <c r="R31" s="19" t="n"/>
      <c r="S31" s="37" t="n"/>
      <c r="T31" s="19" t="n"/>
      <c r="U31" s="19" t="n"/>
      <c r="V31" s="37" t="n"/>
    </row>
    <row r="32">
      <c r="B32" s="18" t="n">
        <v>12</v>
      </c>
      <c r="H32" s="19" t="n"/>
      <c r="I32" s="19" t="n"/>
      <c r="J32" s="38" t="n"/>
      <c r="K32" s="19" t="n"/>
      <c r="L32" s="19" t="n"/>
      <c r="M32" s="38" t="n"/>
      <c r="N32" s="19" t="n"/>
      <c r="O32" s="19" t="n"/>
      <c r="P32" s="38" t="n"/>
      <c r="Q32" s="19" t="n"/>
      <c r="R32" s="19" t="n"/>
      <c r="S32" s="38" t="n"/>
      <c r="T32" s="19" t="n"/>
      <c r="U32" s="19" t="n"/>
      <c r="V32" s="38" t="n"/>
    </row>
    <row r="33">
      <c r="B33" s="18" t="n">
        <v>13</v>
      </c>
      <c r="H33" s="19" t="n"/>
      <c r="I33" s="19" t="n"/>
      <c r="J33" s="37" t="n"/>
      <c r="K33" s="19" t="n"/>
      <c r="L33" s="19" t="n"/>
      <c r="M33" s="37" t="n"/>
      <c r="N33" s="19" t="n"/>
      <c r="O33" s="19" t="n"/>
      <c r="P33" s="37" t="n"/>
      <c r="Q33" s="19" t="n"/>
      <c r="R33" s="19" t="n"/>
      <c r="S33" s="37" t="n"/>
      <c r="T33" s="19" t="n"/>
      <c r="U33" s="19" t="n"/>
      <c r="V33" s="37" t="n"/>
    </row>
    <row r="34">
      <c r="B34" s="18" t="n">
        <v>14</v>
      </c>
      <c r="H34" s="19" t="n"/>
      <c r="I34" s="19" t="n"/>
      <c r="J34" s="38" t="n"/>
      <c r="K34" s="19" t="n"/>
      <c r="L34" s="19" t="n"/>
      <c r="M34" s="38" t="n"/>
      <c r="N34" s="19" t="n"/>
      <c r="O34" s="19" t="n"/>
      <c r="P34" s="38" t="n"/>
      <c r="Q34" s="19" t="n"/>
      <c r="R34" s="19" t="n"/>
      <c r="S34" s="38" t="n"/>
      <c r="T34" s="19" t="n"/>
      <c r="U34" s="19" t="n"/>
      <c r="V34" s="38" t="n"/>
    </row>
    <row r="35">
      <c r="B35" s="18" t="n">
        <v>15</v>
      </c>
      <c r="H35" s="19" t="n"/>
      <c r="I35" s="19" t="n"/>
      <c r="J35" s="37" t="n"/>
      <c r="K35" s="19" t="n"/>
      <c r="L35" s="19" t="n"/>
      <c r="M35" s="37" t="n"/>
      <c r="N35" s="19" t="n"/>
      <c r="O35" s="19" t="n"/>
      <c r="P35" s="37" t="n"/>
      <c r="Q35" s="19" t="n"/>
      <c r="R35" s="19" t="n"/>
      <c r="S35" s="37" t="n"/>
      <c r="T35" s="19" t="n"/>
      <c r="U35" s="19" t="n"/>
      <c r="V35" s="37" t="n"/>
    </row>
    <row r="36">
      <c r="B36" s="18" t="n">
        <v>16</v>
      </c>
      <c r="H36" s="19" t="n"/>
      <c r="I36" s="19" t="n"/>
      <c r="J36" s="38" t="n"/>
      <c r="K36" s="19" t="n"/>
      <c r="L36" s="19" t="n"/>
      <c r="M36" s="38" t="n"/>
      <c r="N36" s="19" t="n"/>
      <c r="O36" s="19" t="n"/>
      <c r="P36" s="38" t="n"/>
      <c r="Q36" s="19" t="n"/>
      <c r="R36" s="19" t="n"/>
      <c r="S36" s="38" t="n"/>
      <c r="T36" s="19" t="n"/>
      <c r="U36" s="19" t="n"/>
      <c r="V36" s="38" t="n"/>
    </row>
    <row r="37">
      <c r="B37" s="18" t="n">
        <v>17</v>
      </c>
      <c r="H37" s="19" t="n"/>
      <c r="I37" s="19" t="n"/>
      <c r="J37" s="37" t="n"/>
      <c r="K37" s="19" t="n"/>
      <c r="L37" s="19" t="n"/>
      <c r="M37" s="37" t="n"/>
      <c r="N37" s="19" t="n"/>
      <c r="O37" s="19" t="n"/>
      <c r="P37" s="37" t="n"/>
      <c r="Q37" s="19" t="n"/>
      <c r="R37" s="19" t="n"/>
      <c r="S37" s="37" t="n"/>
      <c r="T37" s="19" t="n"/>
      <c r="U37" s="19" t="n"/>
      <c r="V37" s="37" t="n"/>
    </row>
    <row r="38">
      <c r="B38" s="18" t="n">
        <v>18</v>
      </c>
      <c r="H38" s="19" t="n"/>
      <c r="I38" s="19" t="n"/>
      <c r="J38" s="38" t="n"/>
      <c r="K38" s="19" t="n"/>
      <c r="L38" s="19" t="n"/>
      <c r="M38" s="38" t="n"/>
      <c r="N38" s="19" t="n"/>
      <c r="O38" s="19" t="n"/>
      <c r="P38" s="38" t="n"/>
      <c r="Q38" s="19" t="n"/>
      <c r="R38" s="19" t="n"/>
      <c r="S38" s="38" t="n"/>
      <c r="T38" s="19" t="n"/>
      <c r="U38" s="19" t="n"/>
      <c r="V38" s="38" t="n"/>
    </row>
    <row r="39">
      <c r="B39" s="18" t="n">
        <v>19</v>
      </c>
      <c r="H39" s="19" t="n"/>
      <c r="I39" s="19" t="n"/>
      <c r="J39" s="37" t="n"/>
      <c r="K39" s="19" t="n"/>
      <c r="L39" s="19" t="n"/>
      <c r="M39" s="37" t="n"/>
      <c r="N39" s="19" t="n"/>
      <c r="O39" s="19" t="n"/>
      <c r="P39" s="37" t="n"/>
      <c r="Q39" s="19" t="n"/>
      <c r="R39" s="19" t="n"/>
      <c r="S39" s="37" t="n"/>
      <c r="T39" s="19" t="n"/>
      <c r="U39" s="19" t="n"/>
      <c r="V39" s="37" t="n"/>
    </row>
    <row r="40">
      <c r="B40" s="18" t="n">
        <v>20</v>
      </c>
      <c r="H40" s="19" t="n"/>
      <c r="I40" s="19" t="n"/>
      <c r="J40" s="38" t="n"/>
      <c r="K40" s="19" t="n"/>
      <c r="L40" s="19" t="n"/>
      <c r="M40" s="38" t="n"/>
      <c r="N40" s="19" t="n"/>
      <c r="O40" s="19" t="n"/>
      <c r="P40" s="38" t="n"/>
      <c r="Q40" s="19" t="n"/>
      <c r="R40" s="19" t="n"/>
      <c r="S40" s="38" t="n"/>
      <c r="T40" s="19" t="n"/>
      <c r="U40" s="19" t="n"/>
      <c r="V40" s="38" t="n"/>
    </row>
    <row r="41">
      <c r="B41" s="18" t="n">
        <v>21</v>
      </c>
      <c r="H41" s="19" t="n"/>
      <c r="I41" s="19" t="n"/>
      <c r="J41" s="37" t="n"/>
      <c r="K41" s="19" t="n"/>
      <c r="L41" s="19" t="n"/>
      <c r="M41" s="37" t="n"/>
      <c r="N41" s="19" t="n"/>
      <c r="O41" s="19" t="n"/>
      <c r="P41" s="37" t="n"/>
      <c r="Q41" s="19" t="n"/>
      <c r="R41" s="19" t="n"/>
      <c r="S41" s="37" t="n"/>
      <c r="T41" s="19" t="n"/>
      <c r="U41" s="19" t="n"/>
      <c r="V41" s="37" t="n"/>
    </row>
    <row r="42">
      <c r="B42" s="18" t="n">
        <v>22</v>
      </c>
      <c r="H42" s="19" t="n"/>
      <c r="I42" s="19" t="n"/>
      <c r="J42" s="38" t="n"/>
      <c r="K42" s="19" t="n"/>
      <c r="L42" s="19" t="n"/>
      <c r="M42" s="38" t="n"/>
      <c r="N42" s="19" t="n"/>
      <c r="O42" s="19" t="n"/>
      <c r="P42" s="38" t="n"/>
      <c r="Q42" s="19" t="n"/>
      <c r="R42" s="19" t="n"/>
      <c r="S42" s="38" t="n"/>
      <c r="T42" s="19" t="n"/>
      <c r="U42" s="19" t="n"/>
      <c r="V42" s="38" t="n"/>
    </row>
    <row r="43">
      <c r="B43" s="18" t="n">
        <v>23</v>
      </c>
      <c r="H43" s="19" t="n"/>
      <c r="I43" s="19" t="n"/>
      <c r="J43" s="37" t="n"/>
      <c r="K43" s="19" t="n"/>
      <c r="L43" s="19" t="n"/>
      <c r="M43" s="37" t="n"/>
      <c r="N43" s="19" t="n"/>
      <c r="O43" s="19" t="n"/>
      <c r="P43" s="37" t="n"/>
      <c r="Q43" s="19" t="n"/>
      <c r="R43" s="19" t="n"/>
      <c r="S43" s="37" t="n"/>
      <c r="T43" s="19" t="n"/>
      <c r="U43" s="19" t="n"/>
      <c r="V43" s="37" t="n"/>
    </row>
    <row r="44">
      <c r="B44" s="18" t="n">
        <v>24</v>
      </c>
      <c r="H44" s="19" t="n"/>
      <c r="I44" s="19" t="n"/>
      <c r="J44" s="38" t="n"/>
      <c r="K44" s="19" t="n"/>
      <c r="L44" s="19" t="n"/>
      <c r="M44" s="38" t="n"/>
      <c r="N44" s="19" t="n"/>
      <c r="O44" s="19" t="n"/>
      <c r="P44" s="38" t="n"/>
      <c r="Q44" s="19" t="n"/>
      <c r="R44" s="19" t="n"/>
      <c r="S44" s="38" t="n"/>
      <c r="T44" s="19" t="n"/>
      <c r="U44" s="19" t="n"/>
      <c r="V44" s="38" t="n"/>
    </row>
    <row r="45">
      <c r="B45" s="18" t="n">
        <v>25</v>
      </c>
      <c r="H45" s="19" t="n"/>
      <c r="I45" s="19" t="n"/>
      <c r="J45" s="37" t="n"/>
      <c r="K45" s="19" t="n"/>
      <c r="L45" s="19" t="n"/>
      <c r="M45" s="37" t="n"/>
      <c r="N45" s="19" t="n"/>
      <c r="O45" s="19" t="n"/>
      <c r="P45" s="37" t="n"/>
      <c r="Q45" s="19" t="n"/>
      <c r="R45" s="19" t="n"/>
      <c r="S45" s="37" t="n"/>
      <c r="T45" s="19" t="n"/>
      <c r="U45" s="19" t="n"/>
      <c r="V45" s="37" t="n"/>
    </row>
    <row r="46">
      <c r="B46" s="18" t="n">
        <v>26</v>
      </c>
      <c r="H46" s="19" t="n"/>
      <c r="I46" s="19" t="n"/>
      <c r="J46" s="38" t="n"/>
      <c r="K46" s="19" t="n"/>
      <c r="L46" s="19" t="n"/>
      <c r="M46" s="38" t="n"/>
      <c r="N46" s="19" t="n"/>
      <c r="O46" s="19" t="n"/>
      <c r="P46" s="38" t="n"/>
      <c r="Q46" s="19" t="n"/>
      <c r="R46" s="19" t="n"/>
      <c r="S46" s="38" t="n"/>
      <c r="T46" s="19" t="n"/>
      <c r="U46" s="19" t="n"/>
      <c r="V46" s="38" t="n"/>
    </row>
    <row r="47">
      <c r="B47" s="18" t="n">
        <v>27</v>
      </c>
      <c r="H47" s="19" t="n"/>
      <c r="I47" s="19" t="n"/>
      <c r="J47" s="37" t="n"/>
      <c r="K47" s="19" t="n"/>
      <c r="L47" s="19" t="n"/>
      <c r="M47" s="37" t="n"/>
      <c r="N47" s="19" t="n"/>
      <c r="O47" s="19" t="n"/>
      <c r="P47" s="37" t="n"/>
      <c r="Q47" s="19" t="n"/>
      <c r="R47" s="19" t="n"/>
      <c r="S47" s="37" t="n"/>
      <c r="T47" s="19" t="n"/>
      <c r="U47" s="19" t="n"/>
      <c r="V47" s="37" t="n"/>
    </row>
    <row r="48">
      <c r="B48" s="18" t="n">
        <v>28</v>
      </c>
      <c r="H48" s="19" t="n"/>
      <c r="I48" s="19" t="n"/>
      <c r="J48" s="38" t="n"/>
      <c r="K48" s="19" t="n"/>
      <c r="L48" s="19" t="n"/>
      <c r="M48" s="38" t="n"/>
      <c r="N48" s="19" t="n"/>
      <c r="O48" s="19" t="n"/>
      <c r="P48" s="38" t="n"/>
      <c r="Q48" s="19" t="n"/>
      <c r="R48" s="19" t="n"/>
      <c r="S48" s="38" t="n"/>
      <c r="T48" s="19" t="n"/>
      <c r="U48" s="19" t="n"/>
      <c r="V48" s="38" t="n"/>
    </row>
    <row r="49">
      <c r="B49" s="18" t="n">
        <v>29</v>
      </c>
      <c r="H49" s="19" t="n"/>
      <c r="I49" s="19" t="n"/>
      <c r="J49" s="37" t="n"/>
      <c r="K49" s="19" t="n"/>
      <c r="L49" s="19" t="n"/>
      <c r="M49" s="37" t="n"/>
      <c r="N49" s="19" t="n"/>
      <c r="O49" s="19" t="n"/>
      <c r="P49" s="37" t="n"/>
      <c r="Q49" s="19" t="n"/>
      <c r="R49" s="19" t="n"/>
      <c r="S49" s="37" t="n"/>
      <c r="T49" s="19" t="n"/>
      <c r="U49" s="19" t="n"/>
      <c r="V49" s="37" t="n"/>
    </row>
    <row r="50">
      <c r="B50" s="18" t="n">
        <v>30</v>
      </c>
      <c r="H50" s="19" t="n"/>
      <c r="I50" s="19" t="n"/>
      <c r="J50" s="38" t="n"/>
      <c r="K50" s="19" t="n"/>
      <c r="L50" s="19" t="n"/>
      <c r="M50" s="38" t="n"/>
      <c r="N50" s="19" t="n"/>
      <c r="O50" s="19" t="n"/>
      <c r="P50" s="38" t="n"/>
      <c r="Q50" s="19" t="n"/>
      <c r="R50" s="19" t="n"/>
      <c r="S50" s="38" t="n"/>
      <c r="T50" s="19" t="n"/>
      <c r="U50" s="19" t="n"/>
      <c r="V50" s="38" t="n"/>
    </row>
    <row r="51">
      <c r="B51" s="18" t="n">
        <v>31</v>
      </c>
      <c r="H51" s="19" t="n"/>
      <c r="I51" s="19" t="n"/>
      <c r="J51" s="37" t="n"/>
      <c r="K51" s="19" t="n"/>
      <c r="L51" s="19" t="n"/>
      <c r="M51" s="37" t="n"/>
      <c r="N51" s="19" t="n"/>
      <c r="O51" s="19" t="n"/>
      <c r="P51" s="37" t="n"/>
      <c r="Q51" s="19" t="n"/>
      <c r="R51" s="19" t="n"/>
      <c r="S51" s="37" t="n"/>
      <c r="T51" s="19" t="n"/>
      <c r="U51" s="19" t="n"/>
      <c r="V51" s="37" t="n"/>
    </row>
    <row r="52">
      <c r="B52" s="18" t="n">
        <v>32</v>
      </c>
      <c r="H52" s="19" t="n"/>
      <c r="I52" s="19" t="n"/>
      <c r="J52" s="38" t="n"/>
      <c r="K52" s="19" t="n"/>
      <c r="L52" s="19" t="n"/>
      <c r="M52" s="38" t="n"/>
      <c r="N52" s="19" t="n"/>
      <c r="O52" s="19" t="n"/>
      <c r="P52" s="38" t="n"/>
      <c r="Q52" s="19" t="n"/>
      <c r="R52" s="19" t="n"/>
      <c r="S52" s="38" t="n"/>
      <c r="T52" s="19" t="n"/>
      <c r="U52" s="19" t="n"/>
      <c r="V52" s="38" t="n"/>
    </row>
    <row r="53">
      <c r="B53" s="18" t="n">
        <v>33</v>
      </c>
      <c r="H53" s="19" t="n"/>
      <c r="I53" s="19" t="n"/>
      <c r="J53" s="37" t="n"/>
      <c r="K53" s="19" t="n"/>
      <c r="L53" s="19" t="n"/>
      <c r="M53" s="37" t="n"/>
      <c r="N53" s="19" t="n"/>
      <c r="O53" s="19" t="n"/>
      <c r="P53" s="37" t="n"/>
      <c r="Q53" s="19" t="n"/>
      <c r="R53" s="19" t="n"/>
      <c r="S53" s="37" t="n"/>
      <c r="T53" s="19" t="n"/>
      <c r="U53" s="19" t="n"/>
      <c r="V53" s="37" t="n"/>
    </row>
    <row r="54">
      <c r="B54" s="18" t="n">
        <v>34</v>
      </c>
      <c r="H54" s="19" t="n"/>
      <c r="I54" s="19" t="n"/>
      <c r="J54" s="38" t="n"/>
      <c r="K54" s="19" t="n"/>
      <c r="L54" s="19" t="n"/>
      <c r="M54" s="38" t="n"/>
      <c r="N54" s="19" t="n"/>
      <c r="O54" s="19" t="n"/>
      <c r="P54" s="38" t="n"/>
      <c r="Q54" s="19" t="n"/>
      <c r="R54" s="19" t="n"/>
      <c r="S54" s="38" t="n"/>
      <c r="T54" s="19" t="n"/>
      <c r="U54" s="19" t="n"/>
      <c r="V54" s="38" t="n"/>
    </row>
    <row r="55">
      <c r="B55" s="18" t="n">
        <v>35</v>
      </c>
      <c r="H55" s="19" t="n"/>
      <c r="I55" s="19" t="n"/>
      <c r="J55" s="37" t="n"/>
      <c r="K55" s="19" t="n"/>
      <c r="L55" s="19" t="n"/>
      <c r="M55" s="37" t="n"/>
      <c r="N55" s="19" t="n"/>
      <c r="O55" s="19" t="n"/>
      <c r="P55" s="37" t="n"/>
      <c r="Q55" s="19" t="n"/>
      <c r="R55" s="19" t="n"/>
      <c r="S55" s="37" t="n"/>
      <c r="T55" s="19" t="n"/>
      <c r="U55" s="19" t="n"/>
      <c r="V55" s="37" t="n"/>
    </row>
    <row r="56">
      <c r="B56" s="18" t="n">
        <v>36</v>
      </c>
      <c r="H56" s="19" t="n"/>
      <c r="I56" s="19" t="n"/>
      <c r="J56" s="38" t="n"/>
      <c r="K56" s="19" t="n"/>
      <c r="L56" s="19" t="n"/>
      <c r="M56" s="38" t="n"/>
      <c r="N56" s="19" t="n"/>
      <c r="O56" s="19" t="n"/>
      <c r="P56" s="38" t="n"/>
      <c r="Q56" s="19" t="n"/>
      <c r="R56" s="19" t="n"/>
      <c r="S56" s="38" t="n"/>
      <c r="T56" s="19" t="n"/>
      <c r="U56" s="19" t="n"/>
      <c r="V56" s="38" t="n"/>
    </row>
    <row r="57">
      <c r="B57" s="18" t="n">
        <v>37</v>
      </c>
      <c r="H57" s="19" t="n"/>
      <c r="I57" s="19" t="n"/>
      <c r="J57" s="37" t="n"/>
      <c r="K57" s="19" t="n"/>
      <c r="L57" s="19" t="n"/>
      <c r="M57" s="37" t="n"/>
      <c r="N57" s="19" t="n"/>
      <c r="O57" s="19" t="n"/>
      <c r="P57" s="37" t="n"/>
      <c r="Q57" s="19" t="n"/>
      <c r="R57" s="19" t="n"/>
      <c r="S57" s="37" t="n"/>
      <c r="T57" s="19" t="n"/>
      <c r="U57" s="19" t="n"/>
      <c r="V57" s="37" t="n"/>
    </row>
    <row r="58">
      <c r="B58" s="18" t="n">
        <v>38</v>
      </c>
      <c r="H58" s="19" t="n"/>
      <c r="I58" s="19" t="n"/>
      <c r="J58" s="38" t="n"/>
      <c r="K58" s="19" t="n"/>
      <c r="L58" s="19" t="n"/>
      <c r="M58" s="38" t="n"/>
      <c r="N58" s="19" t="n"/>
      <c r="O58" s="19" t="n"/>
      <c r="P58" s="38" t="n"/>
      <c r="Q58" s="19" t="n"/>
      <c r="R58" s="19" t="n"/>
      <c r="S58" s="38" t="n"/>
      <c r="T58" s="19" t="n"/>
      <c r="U58" s="19" t="n"/>
      <c r="V58" s="38" t="n"/>
    </row>
    <row r="59">
      <c r="B59" s="18" t="n">
        <v>39</v>
      </c>
      <c r="H59" s="19" t="n"/>
      <c r="I59" s="19" t="n"/>
      <c r="J59" s="37" t="n"/>
      <c r="K59" s="19" t="n"/>
      <c r="L59" s="19" t="n"/>
      <c r="M59" s="37" t="n"/>
      <c r="N59" s="19" t="n"/>
      <c r="O59" s="19" t="n"/>
      <c r="P59" s="37" t="n"/>
      <c r="Q59" s="19" t="n"/>
      <c r="R59" s="19" t="n"/>
      <c r="S59" s="37" t="n"/>
      <c r="T59" s="19" t="n"/>
      <c r="U59" s="19" t="n"/>
      <c r="V59" s="37" t="n"/>
    </row>
    <row r="60">
      <c r="B60" s="18" t="n">
        <v>40</v>
      </c>
      <c r="H60" s="19" t="n"/>
      <c r="I60" s="19" t="n"/>
      <c r="J60" s="38" t="n"/>
      <c r="K60" s="19" t="n"/>
      <c r="L60" s="19" t="n"/>
      <c r="M60" s="38" t="n"/>
      <c r="N60" s="19" t="n"/>
      <c r="O60" s="19" t="n"/>
      <c r="P60" s="38" t="n"/>
      <c r="Q60" s="19" t="n"/>
      <c r="R60" s="19" t="n"/>
      <c r="S60" s="38" t="n"/>
      <c r="T60" s="19" t="n"/>
      <c r="U60" s="19" t="n"/>
      <c r="V60" s="38" t="n"/>
    </row>
    <row r="61">
      <c r="B61" s="18" t="n">
        <v>41</v>
      </c>
      <c r="H61" s="19" t="n"/>
      <c r="I61" s="19" t="n"/>
      <c r="J61" s="37" t="n"/>
      <c r="K61" s="19" t="n"/>
      <c r="L61" s="19" t="n"/>
      <c r="M61" s="37" t="n"/>
      <c r="N61" s="19" t="n"/>
      <c r="O61" s="19" t="n"/>
      <c r="P61" s="37" t="n"/>
      <c r="Q61" s="19" t="n"/>
      <c r="R61" s="19" t="n"/>
      <c r="S61" s="37" t="n"/>
      <c r="T61" s="19" t="n"/>
      <c r="U61" s="19" t="n"/>
      <c r="V61" s="37" t="n"/>
    </row>
    <row r="62">
      <c r="B62" s="18" t="n">
        <v>42</v>
      </c>
      <c r="H62" s="19" t="n"/>
      <c r="I62" s="19" t="n"/>
      <c r="J62" s="38" t="n"/>
      <c r="K62" s="19" t="n"/>
      <c r="L62" s="19" t="n"/>
      <c r="M62" s="38" t="n"/>
      <c r="N62" s="19" t="n"/>
      <c r="O62" s="19" t="n"/>
      <c r="P62" s="38" t="n"/>
      <c r="Q62" s="19" t="n"/>
      <c r="R62" s="19" t="n"/>
      <c r="S62" s="38" t="n"/>
      <c r="T62" s="19" t="n"/>
      <c r="U62" s="19" t="n"/>
      <c r="V62" s="38" t="n"/>
    </row>
    <row r="63">
      <c r="B63" s="18" t="n">
        <v>43</v>
      </c>
      <c r="H63" s="19" t="n"/>
      <c r="I63" s="19" t="n"/>
      <c r="J63" s="37" t="n"/>
      <c r="K63" s="19" t="n"/>
      <c r="L63" s="19" t="n"/>
      <c r="M63" s="37" t="n"/>
      <c r="N63" s="19" t="n"/>
      <c r="O63" s="19" t="n"/>
      <c r="P63" s="37" t="n"/>
      <c r="Q63" s="19" t="n"/>
      <c r="R63" s="19" t="n"/>
      <c r="S63" s="37" t="n"/>
      <c r="T63" s="19" t="n"/>
      <c r="U63" s="19" t="n"/>
      <c r="V63" s="37" t="n"/>
    </row>
    <row r="64">
      <c r="B64" s="18" t="n">
        <v>44</v>
      </c>
      <c r="H64" s="19" t="n"/>
      <c r="I64" s="19" t="n"/>
      <c r="J64" s="38" t="n"/>
      <c r="K64" s="19" t="n"/>
      <c r="L64" s="19" t="n"/>
      <c r="M64" s="38" t="n"/>
      <c r="N64" s="19" t="n"/>
      <c r="O64" s="19" t="n"/>
      <c r="P64" s="38" t="n"/>
      <c r="Q64" s="19" t="n"/>
      <c r="R64" s="19" t="n"/>
      <c r="S64" s="38" t="n"/>
      <c r="T64" s="19" t="n"/>
      <c r="U64" s="19" t="n"/>
      <c r="V64" s="38" t="n"/>
    </row>
    <row r="65">
      <c r="B65" s="18" t="n">
        <v>45</v>
      </c>
      <c r="H65" s="19" t="n"/>
      <c r="I65" s="19" t="n"/>
      <c r="J65" s="37" t="n"/>
      <c r="K65" s="19" t="n"/>
      <c r="L65" s="19" t="n"/>
      <c r="M65" s="37" t="n"/>
      <c r="N65" s="19" t="n"/>
      <c r="O65" s="19" t="n"/>
      <c r="P65" s="37" t="n"/>
      <c r="Q65" s="19" t="n"/>
      <c r="R65" s="19" t="n"/>
      <c r="S65" s="37" t="n"/>
      <c r="T65" s="19" t="n"/>
      <c r="U65" s="19" t="n"/>
      <c r="V65" s="37" t="n"/>
    </row>
    <row r="66">
      <c r="B66" s="18" t="n">
        <v>46</v>
      </c>
      <c r="H66" s="19" t="n"/>
      <c r="I66" s="19" t="n"/>
      <c r="J66" s="38" t="n"/>
      <c r="K66" s="19" t="n"/>
      <c r="L66" s="19" t="n"/>
      <c r="M66" s="38" t="n"/>
      <c r="N66" s="19" t="n"/>
      <c r="O66" s="19" t="n"/>
      <c r="P66" s="38" t="n"/>
      <c r="Q66" s="19" t="n"/>
      <c r="R66" s="19" t="n"/>
      <c r="S66" s="38" t="n"/>
      <c r="T66" s="19" t="n"/>
      <c r="U66" s="19" t="n"/>
      <c r="V66" s="38" t="n"/>
    </row>
    <row r="67">
      <c r="B67" s="18" t="n">
        <v>47</v>
      </c>
      <c r="H67" s="19" t="n"/>
      <c r="I67" s="19" t="n"/>
      <c r="J67" s="37" t="n"/>
      <c r="K67" s="19" t="n"/>
      <c r="L67" s="19" t="n"/>
      <c r="M67" s="37" t="n"/>
      <c r="N67" s="19" t="n"/>
      <c r="O67" s="19" t="n"/>
      <c r="P67" s="37" t="n"/>
      <c r="Q67" s="19" t="n"/>
      <c r="R67" s="19" t="n"/>
      <c r="S67" s="37" t="n"/>
      <c r="T67" s="19" t="n"/>
      <c r="U67" s="19" t="n"/>
      <c r="V67" s="37" t="n"/>
    </row>
    <row r="68">
      <c r="B68" s="18" t="n">
        <v>48</v>
      </c>
      <c r="H68" s="19" t="n"/>
      <c r="I68" s="19" t="n"/>
      <c r="J68" s="38" t="n"/>
      <c r="K68" s="19" t="n"/>
      <c r="L68" s="19" t="n"/>
      <c r="M68" s="38" t="n"/>
      <c r="N68" s="19" t="n"/>
      <c r="O68" s="19" t="n"/>
      <c r="P68" s="38" t="n"/>
      <c r="Q68" s="19" t="n"/>
      <c r="R68" s="19" t="n"/>
      <c r="S68" s="38" t="n"/>
      <c r="T68" s="19" t="n"/>
      <c r="U68" s="19" t="n"/>
      <c r="V68" s="38" t="n"/>
    </row>
  </sheetData>
  <mergeCells count="8">
    <mergeCell ref="B19:G19"/>
    <mergeCell ref="K8:M8"/>
    <mergeCell ref="B2:F7"/>
    <mergeCell ref="T8:V8"/>
    <mergeCell ref="H8:J8"/>
    <mergeCell ref="N8:P8"/>
    <mergeCell ref="Q8:S8"/>
    <mergeCell ref="B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K32"/>
  <sheetViews>
    <sheetView showGridLines="0" workbookViewId="0">
      <selection activeCell="A1" sqref="A1"/>
    </sheetView>
  </sheetViews>
  <sheetFormatPr baseColWidth="8" defaultRowHeight="15"/>
  <cols>
    <col width="3"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8" customHeight="1">
      <c r="B1" s="14" t="inlineStr">
        <is>
          <t>Cohort Power</t>
        </is>
      </c>
    </row>
    <row r="2">
      <c r="B2" s="15" t="inlineStr">
        <is>
          <t>Instructions:
1. Enter values in yellow cells at right.
2. Power table appears in rows 19-31.
3. 'Max. No. Exposed' sets value for bottom row of table.
4. Note that not all RR levels are plotted.
Ref: Rothman KJ and JD Boice. Epidemiologic Analysis with a Programmable Calculator. NIH Pub No. 79-1649, 1979.</t>
        </is>
      </c>
    </row>
    <row r="3"/>
    <row r="4"/>
    <row r="5"/>
    <row r="6"/>
    <row r="7"/>
    <row r="8"/>
    <row r="10">
      <c r="G10" s="18" t="inlineStr">
        <is>
          <t>Z-alpha (1-sided)</t>
        </is>
      </c>
      <c r="H10" s="19" t="n">
        <v>1.645</v>
      </c>
    </row>
    <row r="11">
      <c r="G11" s="18" t="inlineStr">
        <is>
          <t>Unexp./Exp. Ratio</t>
        </is>
      </c>
      <c r="H11" s="19" t="n">
        <v>2</v>
      </c>
    </row>
    <row r="12">
      <c r="G12" s="18" t="inlineStr">
        <is>
          <t>Risk in Unexposed</t>
        </is>
      </c>
      <c r="H12" s="19" t="n">
        <v>0.001</v>
      </c>
    </row>
    <row r="13">
      <c r="G13" s="18" t="inlineStr">
        <is>
          <t>Max. No. Exposed</t>
        </is>
      </c>
      <c r="H13" s="19" t="n">
        <v>10000</v>
      </c>
    </row>
    <row r="15">
      <c r="H15" s="16" t="inlineStr">
        <is>
          <t>RR Effect Levels</t>
        </is>
      </c>
      <c r="I15" s="39" t="n"/>
      <c r="J15" s="39" t="n"/>
      <c r="K15" s="40" t="n"/>
    </row>
    <row r="16">
      <c r="H16" s="16" t="n">
        <v>1.5</v>
      </c>
      <c r="I16" s="16" t="n">
        <v>2</v>
      </c>
      <c r="J16" s="16" t="n">
        <v>3</v>
      </c>
      <c r="K16" s="16" t="n">
        <v>5</v>
      </c>
    </row>
    <row r="19">
      <c r="B19" s="20" t="inlineStr">
        <is>
          <t>Power Table (rows = N Exposed, columns = RR)</t>
        </is>
      </c>
    </row>
    <row r="20">
      <c r="B20" s="41" t="inlineStr">
        <is>
          <t>N Exposed</t>
        </is>
      </c>
      <c r="C20" s="42" t="inlineStr">
        <is>
          <t>RR=1.5</t>
        </is>
      </c>
      <c r="D20" s="43" t="inlineStr">
        <is>
          <t>RR=2</t>
        </is>
      </c>
      <c r="E20" s="42" t="inlineStr">
        <is>
          <t>RR=3</t>
        </is>
      </c>
      <c r="F20" s="43" t="inlineStr">
        <is>
          <t>RR=5</t>
        </is>
      </c>
    </row>
    <row r="21">
      <c r="B21" s="27" t="n">
        <v>100</v>
      </c>
      <c r="C21" s="44" t="n"/>
      <c r="D21" s="44" t="n"/>
      <c r="E21" s="44" t="n"/>
      <c r="F21" s="44" t="n"/>
    </row>
    <row r="22">
      <c r="B22" s="27" t="n">
        <v>500</v>
      </c>
      <c r="C22" s="45" t="n"/>
      <c r="D22" s="45" t="n"/>
      <c r="E22" s="45" t="n"/>
      <c r="F22" s="45" t="n"/>
    </row>
    <row r="23">
      <c r="B23" s="27" t="n">
        <v>1000</v>
      </c>
      <c r="C23" s="44" t="n"/>
      <c r="D23" s="44" t="n"/>
      <c r="E23" s="44" t="n"/>
      <c r="F23" s="44" t="n"/>
    </row>
    <row r="24">
      <c r="B24" s="27" t="n">
        <v>2000</v>
      </c>
      <c r="C24" s="45" t="n"/>
      <c r="D24" s="45" t="n"/>
      <c r="E24" s="45" t="n"/>
      <c r="F24" s="45" t="n"/>
    </row>
    <row r="25">
      <c r="B25" s="27" t="n">
        <v>3000</v>
      </c>
      <c r="C25" s="44" t="n"/>
      <c r="D25" s="44" t="n"/>
      <c r="E25" s="44" t="n"/>
      <c r="F25" s="44" t="n"/>
    </row>
    <row r="26">
      <c r="B26" s="27" t="n">
        <v>4000</v>
      </c>
      <c r="C26" s="45" t="n"/>
      <c r="D26" s="45" t="n"/>
      <c r="E26" s="45" t="n"/>
      <c r="F26" s="45" t="n"/>
    </row>
    <row r="27">
      <c r="B27" s="27" t="n">
        <v>5000</v>
      </c>
      <c r="C27" s="44" t="n"/>
      <c r="D27" s="44" t="n"/>
      <c r="E27" s="44" t="n"/>
      <c r="F27" s="44" t="n"/>
    </row>
    <row r="28">
      <c r="B28" s="27" t="n">
        <v>6000</v>
      </c>
      <c r="C28" s="45" t="n"/>
      <c r="D28" s="45" t="n"/>
      <c r="E28" s="45" t="n"/>
      <c r="F28" s="45" t="n"/>
    </row>
    <row r="29">
      <c r="B29" s="27" t="n">
        <v>7000</v>
      </c>
      <c r="C29" s="44" t="n"/>
      <c r="D29" s="44" t="n"/>
      <c r="E29" s="44" t="n"/>
      <c r="F29" s="44" t="n"/>
    </row>
    <row r="30">
      <c r="B30" s="27" t="n">
        <v>8000</v>
      </c>
      <c r="C30" s="45" t="n"/>
      <c r="D30" s="45" t="n"/>
      <c r="E30" s="45" t="n"/>
      <c r="F30" s="45" t="n"/>
    </row>
    <row r="31">
      <c r="B31" s="27" t="n">
        <v>9000</v>
      </c>
      <c r="C31" s="44" t="n"/>
      <c r="D31" s="44" t="n"/>
      <c r="E31" s="44" t="n"/>
      <c r="F31" s="44" t="n"/>
    </row>
    <row r="32">
      <c r="B32" s="27" t="n">
        <v>10000</v>
      </c>
      <c r="C32" s="45" t="n"/>
      <c r="D32" s="45" t="n"/>
      <c r="E32" s="45" t="n"/>
      <c r="F32" s="45" t="n"/>
    </row>
  </sheetData>
  <mergeCells count="4">
    <mergeCell ref="B2:E8"/>
    <mergeCell ref="H15:K15"/>
    <mergeCell ref="B1:I1"/>
    <mergeCell ref="B19:I1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K30"/>
  <sheetViews>
    <sheetView showGridLines="0" workbookViewId="0">
      <selection activeCell="A1" sqref="A1"/>
    </sheetView>
  </sheetViews>
  <sheetFormatPr baseColWidth="8" defaultRowHeight="15"/>
  <cols>
    <col width="3"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8" customHeight="1">
      <c r="B1" s="14" t="inlineStr">
        <is>
          <t>Case-control Power</t>
        </is>
      </c>
    </row>
    <row r="2">
      <c r="B2" s="15" t="inlineStr">
        <is>
          <t>Instructions:
1. Enter values in yellow cells at right.
2. Power table appears in rows 19-31.
3. 'Maximum No. Cases' sets value for bottom row of table.
Ref: Schlesselman JJ. Case-control Studies. Oxford UP, 1982.
Ref: Rothman KJ and JD Boice. NIH Pub No. 79-1649, 1979.</t>
        </is>
      </c>
    </row>
    <row r="3"/>
    <row r="4"/>
    <row r="5"/>
    <row r="6"/>
    <row r="7"/>
    <row r="8"/>
    <row r="10">
      <c r="G10" s="18" t="inlineStr">
        <is>
          <t>Z-alpha (1-sided)</t>
        </is>
      </c>
      <c r="H10" s="19" t="n">
        <v>1.645</v>
      </c>
    </row>
    <row r="11">
      <c r="G11" s="18" t="inlineStr">
        <is>
          <t>Control/Case Ratio</t>
        </is>
      </c>
      <c r="H11" s="19" t="n">
        <v>1</v>
      </c>
    </row>
    <row r="12">
      <c r="G12" s="18" t="inlineStr">
        <is>
          <t>Exposure Prevalence</t>
        </is>
      </c>
      <c r="H12" s="19" t="n">
        <v>0.25</v>
      </c>
    </row>
    <row r="13">
      <c r="G13" s="18" t="inlineStr">
        <is>
          <t>Maximum No. Cases</t>
        </is>
      </c>
      <c r="H13" s="19" t="n">
        <v>220</v>
      </c>
    </row>
    <row r="15">
      <c r="H15" s="16" t="inlineStr">
        <is>
          <t>OR Effect Levels</t>
        </is>
      </c>
      <c r="I15" s="39" t="n"/>
      <c r="J15" s="39" t="n"/>
      <c r="K15" s="40" t="n"/>
    </row>
    <row r="16">
      <c r="H16" s="16" t="n">
        <v>1.5</v>
      </c>
      <c r="I16" s="16" t="n">
        <v>2</v>
      </c>
      <c r="J16" s="16" t="n">
        <v>3</v>
      </c>
      <c r="K16" s="16" t="n">
        <v>5</v>
      </c>
    </row>
    <row r="19">
      <c r="B19" s="20" t="inlineStr">
        <is>
          <t>Power Table (rows = N Cases, columns = OR)</t>
        </is>
      </c>
    </row>
    <row r="20">
      <c r="B20" s="41" t="inlineStr">
        <is>
          <t>N Cases</t>
        </is>
      </c>
      <c r="C20" s="42" t="inlineStr">
        <is>
          <t>OR=1.5</t>
        </is>
      </c>
      <c r="D20" s="43" t="inlineStr">
        <is>
          <t>OR=2</t>
        </is>
      </c>
      <c r="E20" s="42" t="inlineStr">
        <is>
          <t>OR=3</t>
        </is>
      </c>
      <c r="F20" s="43" t="inlineStr">
        <is>
          <t>OR=5</t>
        </is>
      </c>
    </row>
    <row r="21">
      <c r="B21" s="27" t="n">
        <v>22</v>
      </c>
      <c r="C21" s="44" t="n"/>
      <c r="D21" s="44" t="n"/>
      <c r="E21" s="44" t="n"/>
      <c r="F21" s="44" t="n"/>
    </row>
    <row r="22">
      <c r="B22" s="27" t="n">
        <v>44</v>
      </c>
      <c r="C22" s="45" t="n"/>
      <c r="D22" s="45" t="n"/>
      <c r="E22" s="45" t="n"/>
      <c r="F22" s="45" t="n"/>
    </row>
    <row r="23">
      <c r="B23" s="27" t="n">
        <v>66</v>
      </c>
      <c r="C23" s="44" t="n"/>
      <c r="D23" s="44" t="n"/>
      <c r="E23" s="44" t="n"/>
      <c r="F23" s="44" t="n"/>
    </row>
    <row r="24">
      <c r="B24" s="27" t="n">
        <v>88</v>
      </c>
      <c r="C24" s="45" t="n"/>
      <c r="D24" s="45" t="n"/>
      <c r="E24" s="45" t="n"/>
      <c r="F24" s="45" t="n"/>
    </row>
    <row r="25">
      <c r="B25" s="27" t="n">
        <v>110</v>
      </c>
      <c r="C25" s="44" t="n"/>
      <c r="D25" s="44" t="n"/>
      <c r="E25" s="44" t="n"/>
      <c r="F25" s="44" t="n"/>
    </row>
    <row r="26">
      <c r="B26" s="27" t="n">
        <v>132</v>
      </c>
      <c r="C26" s="45" t="n"/>
      <c r="D26" s="45" t="n"/>
      <c r="E26" s="45" t="n"/>
      <c r="F26" s="45" t="n"/>
    </row>
    <row r="27">
      <c r="B27" s="27" t="n">
        <v>154</v>
      </c>
      <c r="C27" s="44" t="n"/>
      <c r="D27" s="44" t="n"/>
      <c r="E27" s="44" t="n"/>
      <c r="F27" s="44" t="n"/>
    </row>
    <row r="28">
      <c r="B28" s="27" t="n">
        <v>176</v>
      </c>
      <c r="C28" s="45" t="n"/>
      <c r="D28" s="45" t="n"/>
      <c r="E28" s="45" t="n"/>
      <c r="F28" s="45" t="n"/>
    </row>
    <row r="29">
      <c r="B29" s="27" t="n">
        <v>198</v>
      </c>
      <c r="C29" s="44" t="n"/>
      <c r="D29" s="44" t="n"/>
      <c r="E29" s="44" t="n"/>
      <c r="F29" s="44" t="n"/>
    </row>
    <row r="30">
      <c r="B30" s="27" t="n">
        <v>220</v>
      </c>
      <c r="C30" s="45" t="n"/>
      <c r="D30" s="45" t="n"/>
      <c r="E30" s="45" t="n"/>
      <c r="F30" s="45" t="n"/>
    </row>
  </sheetData>
  <mergeCells count="4">
    <mergeCell ref="B2:E8"/>
    <mergeCell ref="H15:K15"/>
    <mergeCell ref="B1:I1"/>
    <mergeCell ref="B19:I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G30"/>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s>
  <sheetData>
    <row r="1" ht="28" customHeight="1">
      <c r="B1" s="14" t="inlineStr">
        <is>
          <t>Study Size Based on Upper CI Location</t>
        </is>
      </c>
    </row>
    <row r="2">
      <c r="B2" s="15" t="inlineStr">
        <is>
          <t>Instructions:
This sheet gives the probability that cohort/case-control studies of various sizes estimating the risk ratio or odds ratio will have an upper CI below a specified value.
Enter values in yellow cells. Results appear in red under Pr (column F).
Ref: Modern Epidemiology, 2nd edition.</t>
        </is>
      </c>
    </row>
    <row r="3"/>
    <row r="4"/>
    <row r="5"/>
    <row r="6"/>
    <row r="7"/>
    <row r="8"/>
    <row r="9"/>
    <row r="11">
      <c r="E11" s="18" t="inlineStr">
        <is>
          <t>Type of study</t>
        </is>
      </c>
      <c r="F11" s="19" t="inlineStr">
        <is>
          <t>case-control</t>
        </is>
      </c>
    </row>
    <row r="12">
      <c r="E12" s="18" t="inlineStr">
        <is>
          <t>Confidence Level</t>
        </is>
      </c>
      <c r="F12" s="19" t="inlineStr">
        <is>
          <t>95%</t>
        </is>
      </c>
    </row>
    <row r="13">
      <c r="E13" s="18" t="inlineStr">
        <is>
          <t>OR/RR Upper Bound &lt;</t>
        </is>
      </c>
      <c r="F13" s="19" t="n">
        <v>2</v>
      </c>
    </row>
    <row r="14">
      <c r="E14" s="18" t="inlineStr">
        <is>
          <t>Expected OR/RR &gt;</t>
        </is>
      </c>
      <c r="F14" s="19" t="n">
        <v>1</v>
      </c>
    </row>
    <row r="15">
      <c r="E15" s="18" t="inlineStr">
        <is>
          <t>Exposure Prevalence</t>
        </is>
      </c>
      <c r="F15" s="19" t="n">
        <v>0.05</v>
      </c>
    </row>
    <row r="16">
      <c r="E16" s="18" t="inlineStr">
        <is>
          <t>Allocation Ratio</t>
        </is>
      </c>
      <c r="F16" s="19" t="n">
        <v>3</v>
      </c>
    </row>
    <row r="17">
      <c r="E17" s="18" t="inlineStr">
        <is>
          <t>Maximum Size</t>
        </is>
      </c>
      <c r="F17" s="19" t="n">
        <v>2000</v>
      </c>
    </row>
    <row r="20">
      <c r="B20" s="20" t="inlineStr">
        <is>
          <t>Size</t>
        </is>
      </c>
      <c r="C20" s="16" t="inlineStr">
        <is>
          <t>N₁</t>
        </is>
      </c>
      <c r="D20" s="16" t="inlineStr">
        <is>
          <t>N₂</t>
        </is>
      </c>
      <c r="E20" s="16" t="inlineStr">
        <is>
          <t>SE(ln OR/RR)</t>
        </is>
      </c>
      <c r="F20" s="16" t="inlineStr">
        <is>
          <t>Span</t>
        </is>
      </c>
      <c r="G20" s="20" t="inlineStr">
        <is>
          <t>Pr</t>
        </is>
      </c>
    </row>
    <row r="21">
      <c r="B21" s="34" t="n">
        <v>200</v>
      </c>
      <c r="C21" s="44" t="n"/>
      <c r="D21" s="44" t="n"/>
      <c r="E21" s="44" t="n"/>
      <c r="F21" s="44" t="n"/>
      <c r="G21" s="46" t="n"/>
    </row>
    <row r="22">
      <c r="B22" s="34" t="n">
        <v>400</v>
      </c>
      <c r="C22" s="44" t="n"/>
      <c r="D22" s="44" t="n"/>
      <c r="E22" s="44" t="n"/>
      <c r="F22" s="44" t="n"/>
      <c r="G22" s="46" t="n"/>
    </row>
    <row r="23">
      <c r="B23" s="34" t="n">
        <v>600</v>
      </c>
      <c r="C23" s="44" t="n"/>
      <c r="D23" s="44" t="n"/>
      <c r="E23" s="44" t="n"/>
      <c r="F23" s="44" t="n"/>
      <c r="G23" s="46" t="n"/>
    </row>
    <row r="24">
      <c r="B24" s="34" t="n">
        <v>800</v>
      </c>
      <c r="C24" s="44" t="n"/>
      <c r="D24" s="44" t="n"/>
      <c r="E24" s="44" t="n"/>
      <c r="F24" s="44" t="n"/>
      <c r="G24" s="46" t="n"/>
    </row>
    <row r="25">
      <c r="B25" s="34" t="n">
        <v>1000</v>
      </c>
      <c r="C25" s="44" t="n"/>
      <c r="D25" s="44" t="n"/>
      <c r="E25" s="44" t="n"/>
      <c r="F25" s="44" t="n"/>
      <c r="G25" s="46" t="n"/>
    </row>
    <row r="26">
      <c r="B26" s="34" t="n">
        <v>1200</v>
      </c>
      <c r="C26" s="44" t="n"/>
      <c r="D26" s="44" t="n"/>
      <c r="E26" s="44" t="n"/>
      <c r="F26" s="44" t="n"/>
      <c r="G26" s="46" t="n"/>
    </row>
    <row r="27">
      <c r="B27" s="34" t="n">
        <v>1400</v>
      </c>
      <c r="C27" s="44" t="n"/>
      <c r="D27" s="44" t="n"/>
      <c r="E27" s="44" t="n"/>
      <c r="F27" s="44" t="n"/>
      <c r="G27" s="46" t="n"/>
    </row>
    <row r="28">
      <c r="B28" s="34" t="n">
        <v>1600</v>
      </c>
      <c r="C28" s="44" t="n"/>
      <c r="D28" s="44" t="n"/>
      <c r="E28" s="44" t="n"/>
      <c r="F28" s="44" t="n"/>
      <c r="G28" s="46" t="n"/>
    </row>
    <row r="29">
      <c r="B29" s="34" t="n">
        <v>1800</v>
      </c>
      <c r="C29" s="44" t="n"/>
      <c r="D29" s="44" t="n"/>
      <c r="E29" s="44" t="n"/>
      <c r="F29" s="44" t="n"/>
      <c r="G29" s="46" t="n"/>
    </row>
    <row r="30">
      <c r="B30" s="34" t="n">
        <v>2000</v>
      </c>
      <c r="C30" s="44" t="n"/>
      <c r="D30" s="44" t="n"/>
      <c r="E30" s="44" t="n"/>
      <c r="F30" s="44" t="n"/>
      <c r="G30" s="46" t="n"/>
    </row>
  </sheetData>
  <mergeCells count="2">
    <mergeCell ref="B2:D9"/>
    <mergeCell ref="B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H17"/>
  <sheetViews>
    <sheetView showGridLines="0" workbookViewId="0">
      <selection activeCell="A1" sqref="A1"/>
    </sheetView>
  </sheetViews>
  <sheetFormatPr baseColWidth="8" defaultRowHeight="15"/>
  <cols>
    <col width="3" customWidth="1" min="1" max="1"/>
    <col width="12" customWidth="1" min="2" max="2"/>
    <col width="10" customWidth="1" min="3" max="3"/>
    <col width="10" customWidth="1" min="4" max="4"/>
    <col width="10" customWidth="1" min="5" max="5"/>
    <col width="12" customWidth="1" min="6" max="6"/>
    <col width="12" customWidth="1" min="7" max="7"/>
    <col width="14" customWidth="1" min="8" max="8"/>
  </cols>
  <sheetData>
    <row r="1" ht="28" customHeight="1">
      <c r="B1" s="14" t="inlineStr">
        <is>
          <t>Meta-Analysis</t>
        </is>
      </c>
    </row>
    <row r="2">
      <c r="B2" s="15" t="inlineStr">
        <is>
          <t>Instructions:
Enter data in yellow cells. Enter RR with LowerCI and UpperCI, or ln(RR) with V(ln(RR)). Choose Fixed or Random effects model.
Pooled result appears in last row (red font). Written by T. Andersson &amp; A. Ahlbom.
Reference: Fleiss JL. Statistical Methods in Medical Research 1993;2:121-145.</t>
        </is>
      </c>
    </row>
    <row r="3"/>
    <row r="4"/>
    <row r="5"/>
    <row r="7">
      <c r="B7" s="27" t="inlineStr">
        <is>
          <t>Title:</t>
        </is>
      </c>
      <c r="C7" s="19" t="inlineStr">
        <is>
          <t>Sample analysis</t>
        </is>
      </c>
    </row>
    <row r="9">
      <c r="B9" s="27" t="inlineStr">
        <is>
          <t>Number of studies:</t>
        </is>
      </c>
      <c r="C9" s="19" t="n">
        <v>4</v>
      </c>
      <c r="F9" s="27" t="inlineStr">
        <is>
          <t>Model:</t>
        </is>
      </c>
      <c r="G9" s="19" t="inlineStr">
        <is>
          <t>Fixed effects</t>
        </is>
      </c>
    </row>
    <row r="11">
      <c r="B11" s="17" t="inlineStr">
        <is>
          <t>Study</t>
        </is>
      </c>
      <c r="C11" s="47" t="inlineStr">
        <is>
          <t>RR</t>
        </is>
      </c>
      <c r="D11" s="47" t="inlineStr">
        <is>
          <t>LL</t>
        </is>
      </c>
      <c r="E11" s="47" t="inlineStr">
        <is>
          <t>UL</t>
        </is>
      </c>
      <c r="F11" s="47" t="inlineStr">
        <is>
          <t>ln(RR)</t>
        </is>
      </c>
      <c r="G11" s="47" t="inlineStr">
        <is>
          <t>V(ln(RR))</t>
        </is>
      </c>
      <c r="H11" s="17" t="inlineStr">
        <is>
          <t>Relative weight</t>
        </is>
      </c>
    </row>
    <row r="12">
      <c r="B12" s="19" t="inlineStr">
        <is>
          <t>A</t>
        </is>
      </c>
      <c r="C12" s="19" t="n">
        <v>1.2</v>
      </c>
      <c r="D12" s="19" t="n">
        <v>0.5</v>
      </c>
      <c r="E12" s="19" t="n">
        <v>3</v>
      </c>
      <c r="F12" s="19" t="n"/>
      <c r="G12" s="19" t="n"/>
      <c r="H12" s="48" t="inlineStr"/>
    </row>
    <row r="13">
      <c r="B13" s="19" t="inlineStr">
        <is>
          <t>B</t>
        </is>
      </c>
      <c r="C13" s="19" t="n">
        <v>2</v>
      </c>
      <c r="D13" s="19" t="n">
        <v>0.8</v>
      </c>
      <c r="E13" s="19" t="n">
        <v>5</v>
      </c>
      <c r="F13" s="19" t="n"/>
      <c r="G13" s="19" t="n"/>
      <c r="H13" s="48" t="inlineStr"/>
    </row>
    <row r="14">
      <c r="B14" s="19" t="inlineStr">
        <is>
          <t>C</t>
        </is>
      </c>
      <c r="C14" s="19" t="n">
        <v>3</v>
      </c>
      <c r="D14" s="19" t="n">
        <v>1.2</v>
      </c>
      <c r="E14" s="19" t="n">
        <v>7.5</v>
      </c>
      <c r="F14" s="19" t="n"/>
      <c r="G14" s="19" t="n"/>
      <c r="H14" s="48" t="inlineStr"/>
    </row>
    <row r="15">
      <c r="B15" s="19" t="inlineStr">
        <is>
          <t>D</t>
        </is>
      </c>
      <c r="C15" s="19" t="n">
        <v>1.2</v>
      </c>
      <c r="D15" s="19" t="n">
        <v>0.4</v>
      </c>
      <c r="E15" s="19" t="n">
        <v>3.8</v>
      </c>
      <c r="F15" s="19" t="n"/>
      <c r="G15" s="19" t="n"/>
      <c r="H15" s="48" t="inlineStr"/>
    </row>
    <row r="16">
      <c r="B16" s="49" t="inlineStr">
        <is>
          <t>Pooled</t>
        </is>
      </c>
      <c r="C16" s="50" t="inlineStr"/>
      <c r="D16" s="50" t="inlineStr"/>
      <c r="E16" s="50" t="inlineStr"/>
      <c r="F16" s="50" t="inlineStr"/>
      <c r="G16" s="50" t="inlineStr"/>
      <c r="H16" s="50" t="inlineStr"/>
    </row>
    <row r="17">
      <c r="B17" s="27" t="inlineStr">
        <is>
          <t>P for homogeneity:</t>
        </is>
      </c>
      <c r="C17" s="23" t="inlineStr"/>
    </row>
  </sheetData>
  <mergeCells count="4">
    <mergeCell ref="B1:H1"/>
    <mergeCell ref="B16"/>
    <mergeCell ref="B2:H5"/>
    <mergeCell ref="C7:H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10"/>
  <sheetViews>
    <sheetView showGridLines="0" workbookViewId="0">
      <selection activeCell="A1" sqref="A1"/>
    </sheetView>
  </sheetViews>
  <sheetFormatPr baseColWidth="8" defaultRowHeight="15"/>
  <cols>
    <col width="3" customWidth="1" min="1" max="1"/>
    <col width="16" customWidth="1" min="2" max="2"/>
    <col width="12" customWidth="1" min="3" max="3"/>
    <col width="12" customWidth="1" min="4" max="4"/>
    <col width="12" customWidth="1" min="5" max="5"/>
    <col width="2" customWidth="1" min="6" max="6"/>
    <col width="12" customWidth="1" min="7" max="7"/>
    <col width="12" customWidth="1" min="8" max="8"/>
    <col width="12" customWidth="1" min="9" max="9"/>
  </cols>
  <sheetData>
    <row r="1" ht="28" customHeight="1">
      <c r="B1" s="14" t="inlineStr">
        <is>
          <t>P-value Functions</t>
        </is>
      </c>
    </row>
    <row r="2">
      <c r="B2" s="15" t="inlineStr">
        <is>
          <t>Instructions:
1. Ctrl-E clears sample data.
2. Enter lower and upper confidence limits into one of the three confidence levels, for either curve 1 or curve 2 or both.
Reference: Poole C. Beyond the Confidence Interval. Am J Pub Health 1987;77(2):195-199.</t>
        </is>
      </c>
    </row>
    <row r="3"/>
    <row r="4"/>
    <row r="5"/>
    <row r="7">
      <c r="C7" s="20" t="inlineStr">
        <is>
          <t>Curve 1</t>
        </is>
      </c>
      <c r="G7" s="20" t="inlineStr">
        <is>
          <t>Curve 2</t>
        </is>
      </c>
    </row>
    <row r="8">
      <c r="D8" s="16" t="inlineStr">
        <is>
          <t>90%</t>
        </is>
      </c>
      <c r="E8" s="16" t="inlineStr">
        <is>
          <t>95%</t>
        </is>
      </c>
      <c r="F8" s="16" t="inlineStr">
        <is>
          <t>99%</t>
        </is>
      </c>
      <c r="H8" s="16" t="inlineStr">
        <is>
          <t>90%</t>
        </is>
      </c>
      <c r="I8" s="16" t="inlineStr">
        <is>
          <t>95%</t>
        </is>
      </c>
      <c r="J8" s="16" t="inlineStr">
        <is>
          <t>99%</t>
        </is>
      </c>
    </row>
    <row r="9">
      <c r="C9" s="18" t="inlineStr">
        <is>
          <t>Lower Bound</t>
        </is>
      </c>
      <c r="D9" s="19" t="n">
        <v>0.8</v>
      </c>
      <c r="E9" s="19" t="n">
        <v>0.8</v>
      </c>
      <c r="F9" s="19" t="n">
        <v>0.8</v>
      </c>
      <c r="G9" s="18" t="inlineStr">
        <is>
          <t>Lower Bound</t>
        </is>
      </c>
      <c r="H9" s="19" t="n"/>
      <c r="I9" s="19" t="n"/>
      <c r="J9" s="19" t="n"/>
    </row>
    <row r="10">
      <c r="C10" s="18" t="inlineStr">
        <is>
          <t>Upper Bound</t>
        </is>
      </c>
      <c r="D10" s="19" t="n">
        <v>3.8</v>
      </c>
      <c r="E10" s="19" t="n">
        <v>3.8</v>
      </c>
      <c r="F10" s="19" t="n">
        <v>45</v>
      </c>
      <c r="G10" s="18" t="inlineStr">
        <is>
          <t>Upper Bound</t>
        </is>
      </c>
      <c r="H10" s="19" t="n"/>
      <c r="I10" s="19" t="n"/>
      <c r="J10" s="19" t="n"/>
    </row>
  </sheetData>
  <mergeCells count="4">
    <mergeCell ref="C7:F7"/>
    <mergeCell ref="B1:I1"/>
    <mergeCell ref="G7:J7"/>
    <mergeCell ref="B2:E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I22"/>
  <sheetViews>
    <sheetView showGridLines="0" workbookViewId="0">
      <selection activeCell="A1" sqref="A1"/>
    </sheetView>
  </sheetViews>
  <sheetFormatPr baseColWidth="8" defaultRowHeight="15"/>
  <cols>
    <col width="3" customWidth="1" min="1" max="1"/>
    <col width="10" customWidth="1" min="2" max="2"/>
    <col width="10" customWidth="1" min="3" max="3"/>
    <col width="14" customWidth="1" min="4" max="4"/>
    <col width="16" customWidth="1" min="5" max="5"/>
    <col width="2" customWidth="1" min="6" max="6"/>
    <col width="20" customWidth="1" min="7" max="7"/>
    <col width="14" customWidth="1" min="8" max="8"/>
    <col width="14" customWidth="1" min="9" max="9"/>
  </cols>
  <sheetData>
    <row r="1" ht="28" customHeight="1">
      <c r="B1" s="14" t="inlineStr">
        <is>
          <t>Seasonal Analysis</t>
        </is>
      </c>
    </row>
    <row r="2">
      <c r="B2" s="15" t="inlineStr">
        <is>
          <t>Instructions:
1. Enter the monthly number of cases in the yellow cells.
2. If available, enter the total monthly population at risk in the green cells.
3. CTL-e clears entries.
Reference:
1. Edwards JH. The recognition and estimation of cyclic trends. Ann Hum Gen 1961.
2. Brookhart MA, Rothman KJ. Simple estimators of the intensity of seasonal occurrence. BMC Med Res Methodol 2008;8(1):67.</t>
        </is>
      </c>
    </row>
    <row r="3"/>
    <row r="4"/>
    <row r="5"/>
    <row r="6"/>
    <row r="7"/>
    <row r="8"/>
    <row r="9">
      <c r="B9" s="20" t="inlineStr">
        <is>
          <t>Month</t>
        </is>
      </c>
      <c r="C9" s="16" t="inlineStr">
        <is>
          <t>Cases</t>
        </is>
      </c>
      <c r="D9" s="16" t="inlineStr">
        <is>
          <t>Total Population</t>
        </is>
      </c>
    </row>
    <row r="10">
      <c r="B10" s="41" t="inlineStr">
        <is>
          <t>Jan</t>
        </is>
      </c>
      <c r="C10" s="19" t="n"/>
      <c r="D10" s="38" t="n"/>
    </row>
    <row r="11">
      <c r="B11" s="41" t="inlineStr">
        <is>
          <t>Feb</t>
        </is>
      </c>
      <c r="C11" s="19" t="n"/>
      <c r="D11" s="38" t="n"/>
    </row>
    <row r="12">
      <c r="B12" s="41" t="inlineStr">
        <is>
          <t>Mar</t>
        </is>
      </c>
      <c r="C12" s="19" t="n"/>
      <c r="D12" s="38" t="n"/>
    </row>
    <row r="13">
      <c r="B13" s="41" t="inlineStr">
        <is>
          <t>Apr</t>
        </is>
      </c>
      <c r="C13" s="19" t="n"/>
      <c r="D13" s="38" t="n"/>
    </row>
    <row r="14">
      <c r="B14" s="41" t="inlineStr">
        <is>
          <t>May</t>
        </is>
      </c>
      <c r="C14" s="19" t="n"/>
      <c r="D14" s="38" t="n"/>
    </row>
    <row r="15">
      <c r="B15" s="27" t="inlineStr">
        <is>
          <t>Peak/Low Ratio =</t>
        </is>
      </c>
      <c r="C15" s="23" t="inlineStr"/>
      <c r="D15" s="38" t="n"/>
    </row>
    <row r="16">
      <c r="B16" s="27" t="inlineStr">
        <is>
          <t xml:space="preserve">       Upper</t>
        </is>
      </c>
      <c r="C16" s="23" t="inlineStr"/>
      <c r="D16" s="23" t="inlineStr"/>
    </row>
    <row r="17">
      <c r="B17" s="27" t="inlineStr">
        <is>
          <t xml:space="preserve">       Upper</t>
        </is>
      </c>
      <c r="C17" s="23" t="inlineStr"/>
      <c r="D17" s="23" t="inlineStr"/>
    </row>
    <row r="18">
      <c r="B18" s="27" t="inlineStr">
        <is>
          <t>Time of Peak =</t>
        </is>
      </c>
      <c r="C18" s="23" t="inlineStr"/>
      <c r="D18" s="38" t="n"/>
    </row>
    <row r="19">
      <c r="B19" s="27" t="inlineStr">
        <is>
          <t>Hemi-amplitude =</t>
        </is>
      </c>
      <c r="C19" s="23" t="inlineStr"/>
      <c r="D19" s="38" t="n"/>
    </row>
    <row r="20">
      <c r="B20" s="27" t="inlineStr">
        <is>
          <t>Adj. monthly mean =</t>
        </is>
      </c>
      <c r="C20" s="23" t="inlineStr"/>
      <c r="D20" s="38" t="n"/>
    </row>
    <row r="21">
      <c r="B21" s="41" t="inlineStr">
        <is>
          <t>Dec</t>
        </is>
      </c>
      <c r="C21" s="19" t="n"/>
      <c r="D21" s="38" t="n"/>
    </row>
    <row r="22">
      <c r="B22" s="41" t="inlineStr">
        <is>
          <t>Total</t>
        </is>
      </c>
      <c r="C22" s="25">
        <f>SUM(C10:C21)</f>
        <v/>
      </c>
      <c r="D22" s="25">
        <f>SUM(D10:D21)</f>
        <v/>
      </c>
    </row>
  </sheetData>
  <mergeCells count="2">
    <mergeCell ref="B2:E8"/>
    <mergeCell ref="B1:I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P55"/>
  <sheetViews>
    <sheetView showGridLines="0" workbookViewId="0">
      <selection activeCell="A1" sqref="A1"/>
    </sheetView>
  </sheetViews>
  <sheetFormatPr baseColWidth="8" defaultRowHeight="15"/>
  <cols>
    <col width="8" customWidth="1" min="2" max="2"/>
    <col width="10" customWidth="1" min="3" max="3"/>
    <col width="12"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2" customWidth="1" min="13" max="13"/>
  </cols>
  <sheetData>
    <row r="1" ht="28" customHeight="1">
      <c r="B1" s="14" t="inlineStr">
        <is>
          <t>Life Table (Actuarial Method)</t>
        </is>
      </c>
    </row>
    <row r="2">
      <c r="B2" s="15" t="inlineStr">
        <is>
          <t>Instructions: Enter data in yellow cells below, starting with initial number at risk, and then the events and losses to follow-up for each interval. CTL-e clears entries. Results appear in col. F-M.
Reference: Rothman KJ. J Chron Dis 1978;31:557-560.</t>
        </is>
      </c>
    </row>
    <row r="3"/>
    <row r="4"/>
    <row r="5"/>
    <row r="7">
      <c r="B7" s="51" t="inlineStr">
        <is>
          <t>Period</t>
        </is>
      </c>
      <c r="C7" s="51" t="inlineStr">
        <is>
          <t>n_x</t>
        </is>
      </c>
      <c r="D7" s="51" t="inlineStr">
        <is>
          <t>d_x (events)</t>
        </is>
      </c>
      <c r="E7" s="51" t="inlineStr">
        <is>
          <t>w_x (losses)</t>
        </is>
      </c>
      <c r="F7" s="17" t="inlineStr">
        <is>
          <t>q_x</t>
        </is>
      </c>
      <c r="G7" s="17" t="inlineStr">
        <is>
          <t>p_x</t>
        </is>
      </c>
      <c r="H7" s="17" t="inlineStr">
        <is>
          <t>S(t)</t>
        </is>
      </c>
      <c r="I7" s="17" t="inlineStr">
        <is>
          <t>F(t)</t>
        </is>
      </c>
      <c r="J7" s="17" t="inlineStr">
        <is>
          <t>Hazard</t>
        </is>
      </c>
      <c r="K7" s="17" t="inlineStr">
        <is>
          <t>SE</t>
        </is>
      </c>
      <c r="L7" s="17" t="inlineStr">
        <is>
          <t>Lower 90% CI</t>
        </is>
      </c>
      <c r="M7" s="17" t="inlineStr">
        <is>
          <t>Upper 90% CI</t>
        </is>
      </c>
    </row>
    <row r="8">
      <c r="C8" s="19" t="n">
        <v>500</v>
      </c>
      <c r="D8" s="19" t="n"/>
      <c r="E8" s="19" t="n"/>
      <c r="F8" s="19" t="n"/>
    </row>
    <row r="9">
      <c r="B9" s="52" t="n">
        <v>1</v>
      </c>
      <c r="D9" s="19" t="n"/>
      <c r="E9" s="19" t="n"/>
      <c r="F9" s="53" t="n"/>
      <c r="G9" s="53" t="n"/>
      <c r="H9" s="53" t="n"/>
      <c r="I9" s="53" t="n"/>
      <c r="J9" s="53" t="n"/>
      <c r="K9" s="53" t="n"/>
    </row>
    <row r="10">
      <c r="B10" s="52" t="n">
        <v>2</v>
      </c>
      <c r="D10" s="19" t="n"/>
      <c r="E10" s="19" t="n"/>
      <c r="F10" s="44" t="n"/>
      <c r="G10" s="44" t="n"/>
      <c r="H10" s="44" t="n"/>
      <c r="I10" s="44" t="n"/>
      <c r="J10" s="44" t="n"/>
      <c r="K10" s="44" t="n"/>
    </row>
    <row r="11">
      <c r="B11" s="52" t="n">
        <v>3</v>
      </c>
      <c r="D11" s="19" t="n"/>
      <c r="E11" s="19" t="n"/>
      <c r="F11" s="53" t="n"/>
      <c r="G11" s="53" t="n"/>
      <c r="H11" s="53" t="n"/>
      <c r="I11" s="53" t="n"/>
      <c r="J11" s="53" t="n"/>
      <c r="K11" s="53" t="n"/>
    </row>
    <row r="12">
      <c r="B12" s="52" t="n">
        <v>4</v>
      </c>
      <c r="D12" s="19" t="n"/>
      <c r="E12" s="19" t="n"/>
      <c r="F12" s="44" t="n"/>
      <c r="G12" s="44" t="n"/>
      <c r="H12" s="44" t="n"/>
      <c r="I12" s="44" t="n"/>
      <c r="J12" s="44" t="n"/>
      <c r="K12" s="44" t="n"/>
    </row>
    <row r="13">
      <c r="B13" s="52" t="n">
        <v>5</v>
      </c>
      <c r="D13" s="19" t="n"/>
      <c r="E13" s="19" t="n"/>
      <c r="F13" s="53" t="n"/>
      <c r="G13" s="53" t="n"/>
      <c r="H13" s="53" t="n"/>
      <c r="I13" s="53" t="n"/>
      <c r="J13" s="53" t="n"/>
      <c r="K13" s="53" t="n"/>
    </row>
    <row r="14">
      <c r="B14" s="52" t="n">
        <v>6</v>
      </c>
      <c r="D14" s="19" t="n"/>
      <c r="E14" s="19" t="n"/>
      <c r="F14" s="44" t="n"/>
      <c r="G14" s="44" t="n"/>
      <c r="H14" s="44" t="n"/>
      <c r="I14" s="44" t="n"/>
      <c r="J14" s="44" t="n"/>
      <c r="K14" s="44" t="n"/>
    </row>
    <row r="15">
      <c r="B15" s="52" t="n">
        <v>7</v>
      </c>
      <c r="D15" s="19" t="n"/>
      <c r="E15" s="19" t="n"/>
      <c r="F15" s="53" t="n"/>
      <c r="G15" s="53" t="n"/>
      <c r="H15" s="53" t="n"/>
      <c r="I15" s="53" t="n"/>
      <c r="J15" s="53" t="n"/>
      <c r="K15" s="53" t="n"/>
    </row>
    <row r="16">
      <c r="B16" s="52" t="n">
        <v>8</v>
      </c>
      <c r="D16" s="19" t="n"/>
      <c r="E16" s="19" t="n"/>
      <c r="F16" s="44" t="n"/>
      <c r="G16" s="44" t="n"/>
      <c r="H16" s="44" t="n"/>
      <c r="I16" s="44" t="n"/>
      <c r="J16" s="44" t="n"/>
      <c r="K16" s="44" t="n"/>
    </row>
    <row r="17">
      <c r="B17" s="52" t="n">
        <v>9</v>
      </c>
      <c r="D17" s="19" t="n"/>
      <c r="E17" s="19" t="n"/>
      <c r="F17" s="53" t="n"/>
      <c r="G17" s="53" t="n"/>
      <c r="H17" s="53" t="n"/>
      <c r="I17" s="53" t="n"/>
      <c r="J17" s="53" t="n"/>
      <c r="K17" s="53" t="n"/>
    </row>
    <row r="18">
      <c r="B18" s="52" t="n">
        <v>10</v>
      </c>
      <c r="D18" s="19" t="n"/>
      <c r="E18" s="19" t="n"/>
      <c r="F18" s="44" t="n"/>
      <c r="G18" s="44" t="n"/>
      <c r="H18" s="44" t="n"/>
      <c r="I18" s="44" t="n"/>
      <c r="J18" s="44" t="n"/>
      <c r="K18" s="44" t="n"/>
    </row>
    <row r="19">
      <c r="B19" s="52" t="n">
        <v>11</v>
      </c>
      <c r="D19" s="19" t="n"/>
      <c r="E19" s="19" t="n"/>
      <c r="F19" s="53" t="n"/>
      <c r="G19" s="53" t="n"/>
      <c r="H19" s="53" t="n"/>
      <c r="I19" s="53" t="n"/>
      <c r="J19" s="53" t="n"/>
      <c r="K19" s="53" t="n"/>
    </row>
    <row r="20">
      <c r="B20" s="52" t="n">
        <v>12</v>
      </c>
      <c r="D20" s="19" t="n"/>
      <c r="E20" s="19" t="n"/>
      <c r="F20" s="44" t="n"/>
      <c r="G20" s="44" t="n"/>
      <c r="H20" s="44" t="n"/>
      <c r="I20" s="44" t="n"/>
      <c r="J20" s="44" t="n"/>
      <c r="K20" s="44" t="n"/>
    </row>
    <row r="21">
      <c r="B21" s="52" t="n">
        <v>13</v>
      </c>
      <c r="D21" s="19" t="n"/>
      <c r="E21" s="19" t="n"/>
      <c r="F21" s="53" t="n"/>
      <c r="G21" s="53" t="n"/>
      <c r="H21" s="53" t="n"/>
      <c r="I21" s="53" t="n"/>
      <c r="J21" s="53" t="n"/>
      <c r="K21" s="53" t="n"/>
    </row>
    <row r="22">
      <c r="B22" s="52" t="n">
        <v>14</v>
      </c>
      <c r="D22" s="19" t="n"/>
      <c r="E22" s="19" t="n"/>
      <c r="F22" s="44" t="n"/>
      <c r="G22" s="44" t="n"/>
      <c r="H22" s="44" t="n"/>
      <c r="I22" s="44" t="n"/>
      <c r="J22" s="44" t="n"/>
      <c r="K22" s="44" t="n"/>
    </row>
    <row r="23">
      <c r="B23" s="52" t="n">
        <v>15</v>
      </c>
      <c r="D23" s="19" t="n"/>
      <c r="E23" s="19" t="n"/>
      <c r="F23" s="53" t="n"/>
      <c r="G23" s="53" t="n"/>
      <c r="H23" s="53" t="n"/>
      <c r="I23" s="53" t="n"/>
      <c r="J23" s="53" t="n"/>
      <c r="K23" s="53" t="n"/>
    </row>
    <row r="24">
      <c r="B24" s="52" t="n">
        <v>16</v>
      </c>
      <c r="D24" s="19" t="n"/>
      <c r="E24" s="19" t="n"/>
      <c r="F24" s="44" t="n"/>
      <c r="G24" s="44" t="n"/>
      <c r="H24" s="44" t="n"/>
      <c r="I24" s="44" t="n"/>
      <c r="J24" s="44" t="n"/>
      <c r="K24" s="44" t="n"/>
    </row>
    <row r="25">
      <c r="B25" s="52" t="n">
        <v>17</v>
      </c>
      <c r="D25" s="19" t="n"/>
      <c r="E25" s="19" t="n"/>
      <c r="F25" s="53" t="n"/>
      <c r="G25" s="53" t="n"/>
      <c r="H25" s="53" t="n"/>
      <c r="I25" s="53" t="n"/>
      <c r="J25" s="53" t="n"/>
      <c r="K25" s="53" t="n"/>
    </row>
    <row r="26">
      <c r="B26" s="52" t="n">
        <v>18</v>
      </c>
      <c r="D26" s="19" t="n"/>
      <c r="E26" s="19" t="n"/>
      <c r="F26" s="44" t="n"/>
      <c r="G26" s="44" t="n"/>
      <c r="H26" s="44" t="n"/>
      <c r="I26" s="44" t="n"/>
      <c r="J26" s="44" t="n"/>
      <c r="K26" s="44" t="n"/>
    </row>
    <row r="27">
      <c r="B27" s="52" t="n">
        <v>19</v>
      </c>
      <c r="D27" s="19" t="n"/>
      <c r="E27" s="19" t="n"/>
      <c r="F27" s="53" t="n"/>
      <c r="G27" s="53" t="n"/>
      <c r="H27" s="53" t="n"/>
      <c r="I27" s="53" t="n"/>
      <c r="J27" s="53" t="n"/>
      <c r="K27" s="53" t="n"/>
    </row>
    <row r="28">
      <c r="B28" s="52" t="n">
        <v>20</v>
      </c>
      <c r="D28" s="19" t="n"/>
      <c r="E28" s="19" t="n"/>
      <c r="F28" s="44" t="n"/>
      <c r="G28" s="44" t="n"/>
      <c r="H28" s="44" t="n"/>
      <c r="I28" s="44" t="n"/>
      <c r="J28" s="44" t="n"/>
      <c r="K28" s="44" t="n"/>
    </row>
    <row r="29">
      <c r="B29" s="52" t="n">
        <v>21</v>
      </c>
      <c r="D29" s="19" t="n"/>
      <c r="E29" s="19" t="n"/>
      <c r="F29" s="53" t="n"/>
      <c r="G29" s="53" t="n"/>
      <c r="H29" s="53" t="n"/>
      <c r="I29" s="53" t="n"/>
      <c r="J29" s="53" t="n"/>
      <c r="K29" s="53" t="n"/>
    </row>
    <row r="30">
      <c r="B30" s="52" t="n">
        <v>22</v>
      </c>
      <c r="D30" s="19" t="n"/>
      <c r="E30" s="19" t="n"/>
      <c r="F30" s="44" t="n"/>
      <c r="G30" s="44" t="n"/>
      <c r="H30" s="44" t="n"/>
      <c r="I30" s="44" t="n"/>
      <c r="J30" s="44" t="n"/>
      <c r="K30" s="44" t="n"/>
    </row>
    <row r="31">
      <c r="B31" s="52" t="n">
        <v>23</v>
      </c>
      <c r="D31" s="19" t="n"/>
      <c r="E31" s="19" t="n"/>
      <c r="F31" s="53" t="n"/>
      <c r="G31" s="53" t="n"/>
      <c r="H31" s="53" t="n"/>
      <c r="I31" s="53" t="n"/>
      <c r="J31" s="53" t="n"/>
      <c r="K31" s="53" t="n"/>
    </row>
    <row r="32">
      <c r="B32" s="52" t="n">
        <v>24</v>
      </c>
      <c r="D32" s="19" t="n"/>
      <c r="E32" s="19" t="n"/>
      <c r="F32" s="44" t="n"/>
      <c r="G32" s="44" t="n"/>
      <c r="H32" s="44" t="n"/>
      <c r="I32" s="44" t="n"/>
      <c r="J32" s="44" t="n"/>
      <c r="K32" s="44" t="n"/>
    </row>
    <row r="33">
      <c r="B33" s="52" t="n">
        <v>25</v>
      </c>
      <c r="D33" s="19" t="n"/>
      <c r="E33" s="19" t="n"/>
      <c r="F33" s="53" t="n"/>
      <c r="G33" s="53" t="n"/>
      <c r="H33" s="53" t="n"/>
      <c r="I33" s="53" t="n"/>
      <c r="J33" s="53" t="n"/>
      <c r="K33" s="53" t="n"/>
    </row>
    <row r="34">
      <c r="B34" s="52" t="n">
        <v>26</v>
      </c>
      <c r="D34" s="19" t="n"/>
      <c r="E34" s="19" t="n"/>
      <c r="F34" s="44" t="n"/>
      <c r="G34" s="44" t="n"/>
      <c r="H34" s="44" t="n"/>
      <c r="I34" s="44" t="n"/>
      <c r="J34" s="44" t="n"/>
      <c r="K34" s="44" t="n"/>
    </row>
    <row r="35">
      <c r="B35" s="52" t="n">
        <v>27</v>
      </c>
      <c r="D35" s="19" t="n"/>
      <c r="E35" s="19" t="n"/>
      <c r="F35" s="53" t="n"/>
      <c r="G35" s="53" t="n"/>
      <c r="H35" s="53" t="n"/>
      <c r="I35" s="53" t="n"/>
      <c r="J35" s="53" t="n"/>
      <c r="K35" s="53" t="n"/>
    </row>
    <row r="36">
      <c r="B36" s="52" t="n">
        <v>28</v>
      </c>
      <c r="D36" s="19" t="n"/>
      <c r="E36" s="19" t="n"/>
      <c r="F36" s="44" t="n"/>
      <c r="G36" s="44" t="n"/>
      <c r="H36" s="44" t="n"/>
      <c r="I36" s="44" t="n"/>
      <c r="J36" s="44" t="n"/>
      <c r="K36" s="44" t="n"/>
    </row>
    <row r="37">
      <c r="B37" s="52" t="n">
        <v>29</v>
      </c>
      <c r="D37" s="19" t="n"/>
      <c r="E37" s="19" t="n"/>
      <c r="F37" s="53" t="n"/>
      <c r="G37" s="53" t="n"/>
      <c r="H37" s="53" t="n"/>
      <c r="I37" s="53" t="n"/>
      <c r="J37" s="53" t="n"/>
      <c r="K37" s="53" t="n"/>
    </row>
    <row r="38">
      <c r="B38" s="52" t="n">
        <v>30</v>
      </c>
      <c r="D38" s="19" t="n"/>
      <c r="E38" s="19" t="n"/>
      <c r="F38" s="44" t="n"/>
      <c r="G38" s="44" t="n"/>
      <c r="H38" s="44" t="n"/>
      <c r="I38" s="44" t="n"/>
      <c r="J38" s="44" t="n"/>
      <c r="K38" s="44" t="n"/>
    </row>
    <row r="39">
      <c r="B39" s="52" t="n">
        <v>31</v>
      </c>
      <c r="D39" s="19" t="n"/>
      <c r="E39" s="19" t="n"/>
      <c r="F39" s="53" t="n"/>
      <c r="G39" s="53" t="n"/>
      <c r="H39" s="53" t="n"/>
      <c r="I39" s="53" t="n"/>
      <c r="J39" s="53" t="n"/>
      <c r="K39" s="53" t="n"/>
    </row>
    <row r="40">
      <c r="B40" s="52" t="n">
        <v>32</v>
      </c>
      <c r="D40" s="19" t="n"/>
      <c r="E40" s="19" t="n"/>
      <c r="F40" s="44" t="n"/>
      <c r="G40" s="44" t="n"/>
      <c r="H40" s="44" t="n"/>
      <c r="I40" s="44" t="n"/>
      <c r="J40" s="44" t="n"/>
      <c r="K40" s="44" t="n"/>
    </row>
    <row r="41">
      <c r="B41" s="52" t="n">
        <v>33</v>
      </c>
      <c r="D41" s="19" t="n"/>
      <c r="E41" s="19" t="n"/>
      <c r="F41" s="53" t="n"/>
      <c r="G41" s="53" t="n"/>
      <c r="H41" s="53" t="n"/>
      <c r="I41" s="53" t="n"/>
      <c r="J41" s="53" t="n"/>
      <c r="K41" s="53" t="n"/>
    </row>
    <row r="42">
      <c r="B42" s="52" t="n">
        <v>34</v>
      </c>
      <c r="D42" s="19" t="n"/>
      <c r="E42" s="19" t="n"/>
      <c r="F42" s="44" t="n"/>
      <c r="G42" s="44" t="n"/>
      <c r="H42" s="44" t="n"/>
      <c r="I42" s="44" t="n"/>
      <c r="J42" s="44" t="n"/>
      <c r="K42" s="44" t="n"/>
    </row>
    <row r="43">
      <c r="B43" s="52" t="n">
        <v>35</v>
      </c>
      <c r="D43" s="19" t="n"/>
      <c r="E43" s="19" t="n"/>
      <c r="F43" s="53" t="n"/>
      <c r="G43" s="53" t="n"/>
      <c r="H43" s="53" t="n"/>
      <c r="I43" s="53" t="n"/>
      <c r="J43" s="53" t="n"/>
      <c r="K43" s="53" t="n"/>
    </row>
    <row r="44">
      <c r="B44" s="52" t="n">
        <v>36</v>
      </c>
      <c r="D44" s="19" t="n"/>
      <c r="E44" s="19" t="n"/>
      <c r="F44" s="44" t="n"/>
      <c r="G44" s="44" t="n"/>
      <c r="H44" s="44" t="n"/>
      <c r="I44" s="44" t="n"/>
      <c r="J44" s="44" t="n"/>
      <c r="K44" s="44" t="n"/>
    </row>
    <row r="45">
      <c r="B45" s="52" t="n">
        <v>37</v>
      </c>
      <c r="D45" s="19" t="n"/>
      <c r="E45" s="19" t="n"/>
      <c r="F45" s="53" t="n"/>
      <c r="G45" s="53" t="n"/>
      <c r="H45" s="53" t="n"/>
      <c r="I45" s="53" t="n"/>
      <c r="J45" s="53" t="n"/>
      <c r="K45" s="53" t="n"/>
    </row>
    <row r="46">
      <c r="B46" s="52" t="n">
        <v>38</v>
      </c>
      <c r="D46" s="19" t="n"/>
      <c r="E46" s="19" t="n"/>
      <c r="F46" s="44" t="n"/>
      <c r="G46" s="44" t="n"/>
      <c r="H46" s="44" t="n"/>
      <c r="I46" s="44" t="n"/>
      <c r="J46" s="44" t="n"/>
      <c r="K46" s="44" t="n"/>
    </row>
    <row r="47">
      <c r="B47" s="52" t="n">
        <v>39</v>
      </c>
      <c r="D47" s="19" t="n"/>
      <c r="E47" s="19" t="n"/>
      <c r="F47" s="53" t="n"/>
      <c r="G47" s="53" t="n"/>
      <c r="H47" s="53" t="n"/>
      <c r="I47" s="53" t="n"/>
      <c r="J47" s="53" t="n"/>
      <c r="K47" s="53" t="n"/>
    </row>
    <row r="48">
      <c r="B48" s="52" t="n">
        <v>40</v>
      </c>
      <c r="D48" s="19" t="n"/>
      <c r="E48" s="19" t="n"/>
      <c r="F48" s="44" t="n"/>
      <c r="G48" s="44" t="n"/>
      <c r="H48" s="44" t="n"/>
      <c r="I48" s="44" t="n"/>
      <c r="J48" s="44" t="n"/>
      <c r="K48" s="44" t="n"/>
    </row>
    <row r="49">
      <c r="B49" s="52" t="n">
        <v>41</v>
      </c>
      <c r="D49" s="19" t="n"/>
      <c r="E49" s="19" t="n"/>
      <c r="F49" s="53" t="n"/>
      <c r="G49" s="53" t="n"/>
      <c r="H49" s="53" t="n"/>
      <c r="I49" s="53" t="n"/>
      <c r="J49" s="53" t="n"/>
      <c r="K49" s="53" t="n"/>
    </row>
    <row r="50">
      <c r="B50" s="52" t="n">
        <v>42</v>
      </c>
      <c r="D50" s="19" t="n"/>
      <c r="E50" s="19" t="n"/>
      <c r="F50" s="44" t="n"/>
      <c r="G50" s="44" t="n"/>
      <c r="H50" s="44" t="n"/>
      <c r="I50" s="44" t="n"/>
      <c r="J50" s="44" t="n"/>
      <c r="K50" s="44" t="n"/>
    </row>
    <row r="51">
      <c r="B51" s="52" t="n">
        <v>43</v>
      </c>
      <c r="D51" s="19" t="n"/>
      <c r="E51" s="19" t="n"/>
      <c r="F51" s="53" t="n"/>
      <c r="G51" s="53" t="n"/>
      <c r="H51" s="53" t="n"/>
      <c r="I51" s="53" t="n"/>
      <c r="J51" s="53" t="n"/>
      <c r="K51" s="53" t="n"/>
    </row>
    <row r="52">
      <c r="B52" s="52" t="n">
        <v>44</v>
      </c>
      <c r="D52" s="19" t="n"/>
      <c r="E52" s="19" t="n"/>
      <c r="F52" s="44" t="n"/>
      <c r="G52" s="44" t="n"/>
      <c r="H52" s="44" t="n"/>
      <c r="I52" s="44" t="n"/>
      <c r="J52" s="44" t="n"/>
      <c r="K52" s="44" t="n"/>
    </row>
    <row r="53">
      <c r="B53" s="52" t="n">
        <v>45</v>
      </c>
      <c r="D53" s="19" t="n"/>
      <c r="E53" s="19" t="n"/>
      <c r="F53" s="53" t="n"/>
      <c r="G53" s="53" t="n"/>
      <c r="H53" s="53" t="n"/>
      <c r="I53" s="53" t="n"/>
      <c r="J53" s="53" t="n"/>
      <c r="K53" s="53" t="n"/>
    </row>
    <row r="54">
      <c r="B54" s="52" t="n">
        <v>46</v>
      </c>
      <c r="D54" s="19" t="n"/>
      <c r="E54" s="19" t="n"/>
      <c r="F54" s="44" t="n"/>
      <c r="G54" s="44" t="n"/>
      <c r="H54" s="44" t="n"/>
      <c r="I54" s="44" t="n"/>
      <c r="J54" s="44" t="n"/>
      <c r="K54" s="44" t="n"/>
    </row>
    <row r="55">
      <c r="B55" s="52" t="n">
        <v>47</v>
      </c>
      <c r="D55" s="19" t="n"/>
      <c r="E55" s="19" t="n"/>
      <c r="F55" s="53" t="n"/>
      <c r="G55" s="53" t="n"/>
      <c r="H55" s="53" t="n"/>
      <c r="I55" s="53" t="n"/>
      <c r="J55" s="53" t="n"/>
      <c r="K55" s="53" t="n"/>
    </row>
  </sheetData>
  <mergeCells count="2">
    <mergeCell ref="B2:F5"/>
    <mergeCell ref="B1:P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R45"/>
  <sheetViews>
    <sheetView showGridLines="0" workbookViewId="0">
      <selection activeCell="A1" sqref="A1"/>
    </sheetView>
  </sheetViews>
  <sheetFormatPr baseColWidth="8" defaultRowHeight="15"/>
  <sheetData>
    <row r="1" ht="28" customHeight="1">
      <c r="B1" s="14" t="inlineStr">
        <is>
          <t>Matched Case-control Data</t>
        </is>
      </c>
    </row>
    <row r="2">
      <c r="B2" s="15" t="inlineStr">
        <is>
          <t>Instructions:
1. Enter frequencies of individually matched sets in yellow cells, for every matching ratio that applies.
2. Results appear in red within the brown box to the right.
3. CTL-e clears entries.
Ref: Modern Epidemiology, 3rd ed.</t>
        </is>
      </c>
    </row>
    <row r="3"/>
    <row r="4"/>
    <row r="5"/>
    <row r="6"/>
    <row r="8">
      <c r="B8" s="54" t="inlineStr">
        <is>
          <t>1</t>
        </is>
      </c>
      <c r="D8" s="18" t="inlineStr">
        <is>
          <t>Case Exposed</t>
        </is>
      </c>
      <c r="E8" s="19" t="n"/>
      <c r="F8" s="19" t="n"/>
      <c r="G8" s="19" t="n"/>
      <c r="O8" s="55" t="inlineStr">
        <is>
          <t>Results →</t>
        </is>
      </c>
    </row>
    <row r="9">
      <c r="D9" s="18" t="inlineStr">
        <is>
          <t>Case Unexposed</t>
        </is>
      </c>
      <c r="E9" s="19" t="n"/>
      <c r="F9" s="19" t="n"/>
      <c r="G9" s="19" t="n"/>
      <c r="O9" s="27" t="inlineStr">
        <is>
          <t>RRmh =</t>
        </is>
      </c>
      <c r="P9" s="50" t="inlineStr"/>
    </row>
    <row r="10">
      <c r="O10" s="27" t="inlineStr">
        <is>
          <t>90% CI:</t>
        </is>
      </c>
      <c r="P10" s="50" t="inlineStr"/>
    </row>
    <row r="11">
      <c r="O11" s="27" t="inlineStr">
        <is>
          <t>95% CI:</t>
        </is>
      </c>
      <c r="P11" s="50" t="inlineStr"/>
    </row>
    <row r="12">
      <c r="B12" s="54" t="inlineStr">
        <is>
          <t>2</t>
        </is>
      </c>
      <c r="D12" s="18" t="inlineStr">
        <is>
          <t>Case Exposed</t>
        </is>
      </c>
      <c r="E12" s="19" t="n"/>
      <c r="F12" s="19" t="n"/>
      <c r="G12" s="19" t="n"/>
      <c r="H12" s="19" t="n"/>
      <c r="O12" s="27" t="inlineStr">
        <is>
          <t>99% CI:</t>
        </is>
      </c>
      <c r="P12" s="50" t="inlineStr"/>
    </row>
    <row r="13">
      <c r="D13" s="18" t="inlineStr">
        <is>
          <t>Case Unexposed</t>
        </is>
      </c>
      <c r="E13" s="19" t="n"/>
      <c r="F13" s="19" t="n"/>
      <c r="G13" s="19" t="n"/>
      <c r="H13" s="19" t="n"/>
      <c r="O13" s="27" t="inlineStr">
        <is>
          <t>P-value =</t>
        </is>
      </c>
      <c r="P13" s="50" t="inlineStr"/>
    </row>
    <row r="14">
      <c r="O14" s="27" t="inlineStr">
        <is>
          <t>Crude RR =</t>
        </is>
      </c>
      <c r="P14" s="50" t="inlineStr"/>
    </row>
    <row r="15">
      <c r="O15" s="27" t="inlineStr">
        <is>
          <t>Crude 90% CI:</t>
        </is>
      </c>
      <c r="P15" s="50" t="inlineStr"/>
    </row>
    <row r="16">
      <c r="B16" s="54" t="inlineStr">
        <is>
          <t>3</t>
        </is>
      </c>
      <c r="D16" s="18" t="inlineStr">
        <is>
          <t>Case Exposed</t>
        </is>
      </c>
      <c r="E16" s="19" t="n"/>
      <c r="F16" s="19" t="n"/>
      <c r="G16" s="19" t="n"/>
      <c r="H16" s="19" t="n"/>
      <c r="I16" s="19" t="n"/>
      <c r="O16" s="27" t="inlineStr">
        <is>
          <t>Crude 95% CI:</t>
        </is>
      </c>
      <c r="P16" s="50" t="inlineStr"/>
    </row>
    <row r="17">
      <c r="D17" s="18" t="inlineStr">
        <is>
          <t>Case Unexposed</t>
        </is>
      </c>
      <c r="E17" s="19" t="n"/>
      <c r="F17" s="19" t="n"/>
      <c r="G17" s="19" t="n"/>
      <c r="H17" s="19" t="n"/>
      <c r="I17" s="19" t="n"/>
    </row>
    <row r="20">
      <c r="B20" s="54" t="inlineStr">
        <is>
          <t>4</t>
        </is>
      </c>
      <c r="D20" s="18" t="inlineStr">
        <is>
          <t>Case Exposed</t>
        </is>
      </c>
      <c r="E20" s="19" t="n"/>
      <c r="F20" s="19" t="n"/>
      <c r="G20" s="19" t="n"/>
      <c r="H20" s="19" t="n"/>
      <c r="I20" s="19" t="n"/>
      <c r="J20" s="19" t="n"/>
    </row>
    <row r="21">
      <c r="D21" s="18" t="inlineStr">
        <is>
          <t>Case Unexposed</t>
        </is>
      </c>
      <c r="E21" s="19" t="n"/>
      <c r="F21" s="19" t="n"/>
      <c r="G21" s="19" t="n"/>
      <c r="H21" s="19" t="n"/>
      <c r="I21" s="19" t="n"/>
      <c r="J21" s="19" t="n"/>
    </row>
    <row r="24">
      <c r="B24" s="54" t="inlineStr">
        <is>
          <t>5</t>
        </is>
      </c>
      <c r="D24" s="18" t="inlineStr">
        <is>
          <t>Case Exposed</t>
        </is>
      </c>
      <c r="E24" s="19" t="n"/>
      <c r="F24" s="19" t="n"/>
      <c r="G24" s="19" t="n"/>
      <c r="H24" s="19" t="n"/>
      <c r="I24" s="19" t="n"/>
      <c r="J24" s="19" t="n"/>
      <c r="K24" s="19" t="n"/>
    </row>
    <row r="25">
      <c r="D25" s="18" t="inlineStr">
        <is>
          <t>Case Unexposed</t>
        </is>
      </c>
      <c r="E25" s="19" t="n"/>
      <c r="F25" s="19" t="n"/>
      <c r="G25" s="19" t="n"/>
      <c r="H25" s="19" t="n"/>
      <c r="I25" s="19" t="n"/>
      <c r="J25" s="19" t="n"/>
      <c r="K25" s="19" t="n"/>
    </row>
    <row r="28">
      <c r="B28" s="54" t="inlineStr">
        <is>
          <t>6</t>
        </is>
      </c>
      <c r="D28" s="18" t="inlineStr">
        <is>
          <t>Case Exposed</t>
        </is>
      </c>
      <c r="E28" s="19" t="n"/>
      <c r="F28" s="19" t="n"/>
      <c r="G28" s="19" t="n"/>
      <c r="H28" s="19" t="n"/>
      <c r="I28" s="19" t="n"/>
      <c r="J28" s="19" t="n"/>
      <c r="K28" s="19" t="n"/>
      <c r="L28" s="19" t="n"/>
    </row>
    <row r="29">
      <c r="D29" s="18" t="inlineStr">
        <is>
          <t>Case Unexposed</t>
        </is>
      </c>
      <c r="E29" s="19" t="n"/>
      <c r="F29" s="19" t="n"/>
      <c r="G29" s="19" t="n"/>
      <c r="H29" s="19" t="n"/>
      <c r="I29" s="19" t="n"/>
      <c r="J29" s="19" t="n"/>
      <c r="K29" s="19" t="n"/>
      <c r="L29" s="19" t="n"/>
    </row>
    <row r="32">
      <c r="B32" s="54" t="inlineStr">
        <is>
          <t>7</t>
        </is>
      </c>
      <c r="D32" s="18" t="inlineStr">
        <is>
          <t>Case Exposed</t>
        </is>
      </c>
      <c r="E32" s="19" t="n"/>
      <c r="F32" s="19" t="n"/>
      <c r="G32" s="19" t="n"/>
      <c r="H32" s="19" t="n"/>
      <c r="I32" s="19" t="n"/>
      <c r="J32" s="19" t="n"/>
      <c r="K32" s="19" t="n"/>
      <c r="L32" s="19" t="n"/>
      <c r="M32" s="19" t="n"/>
    </row>
    <row r="33">
      <c r="D33" s="18" t="inlineStr">
        <is>
          <t>Case Unexposed</t>
        </is>
      </c>
      <c r="E33" s="19" t="n"/>
      <c r="F33" s="19" t="n"/>
      <c r="G33" s="19" t="n"/>
      <c r="H33" s="19" t="n"/>
      <c r="I33" s="19" t="n"/>
      <c r="J33" s="19" t="n"/>
      <c r="K33" s="19" t="n"/>
      <c r="L33" s="19" t="n"/>
      <c r="M33" s="19" t="n"/>
    </row>
    <row r="36">
      <c r="B36" s="54" t="inlineStr">
        <is>
          <t>8</t>
        </is>
      </c>
      <c r="D36" s="18" t="inlineStr">
        <is>
          <t>Case Exposed</t>
        </is>
      </c>
      <c r="E36" s="19" t="n"/>
      <c r="F36" s="19" t="n"/>
      <c r="G36" s="19" t="n"/>
      <c r="H36" s="19" t="n"/>
      <c r="I36" s="19" t="n"/>
      <c r="J36" s="19" t="n"/>
      <c r="K36" s="19" t="n"/>
      <c r="L36" s="19" t="n"/>
      <c r="M36" s="19" t="n"/>
      <c r="N36" s="19" t="n"/>
    </row>
    <row r="37">
      <c r="D37" s="18" t="inlineStr">
        <is>
          <t>Case Unexposed</t>
        </is>
      </c>
      <c r="E37" s="19" t="n"/>
      <c r="F37" s="19" t="n"/>
      <c r="G37" s="19" t="n"/>
      <c r="H37" s="19" t="n"/>
      <c r="I37" s="19" t="n"/>
      <c r="J37" s="19" t="n"/>
      <c r="K37" s="19" t="n"/>
      <c r="L37" s="19" t="n"/>
      <c r="M37" s="19" t="n"/>
      <c r="N37" s="19" t="n"/>
    </row>
    <row r="40">
      <c r="B40" s="54" t="inlineStr">
        <is>
          <t>9</t>
        </is>
      </c>
      <c r="D40" s="18" t="inlineStr">
        <is>
          <t>Case Exposed</t>
        </is>
      </c>
      <c r="E40" s="19" t="n"/>
      <c r="F40" s="19" t="n"/>
      <c r="G40" s="19" t="n"/>
      <c r="H40" s="19" t="n"/>
      <c r="I40" s="19" t="n"/>
      <c r="J40" s="19" t="n"/>
      <c r="K40" s="19" t="n"/>
      <c r="L40" s="19" t="n"/>
      <c r="M40" s="19" t="n"/>
      <c r="N40" s="19" t="n"/>
      <c r="O40" s="19" t="n"/>
    </row>
    <row r="41">
      <c r="D41" s="18" t="inlineStr">
        <is>
          <t>Case Unexposed</t>
        </is>
      </c>
      <c r="E41" s="19" t="n"/>
      <c r="F41" s="19" t="n"/>
      <c r="G41" s="19" t="n"/>
      <c r="H41" s="19" t="n"/>
      <c r="I41" s="19" t="n"/>
      <c r="J41" s="19" t="n"/>
      <c r="K41" s="19" t="n"/>
      <c r="L41" s="19" t="n"/>
      <c r="M41" s="19" t="n"/>
      <c r="N41" s="19" t="n"/>
      <c r="O41" s="19" t="n"/>
    </row>
    <row r="44">
      <c r="B44" s="54" t="inlineStr">
        <is>
          <t>10</t>
        </is>
      </c>
      <c r="D44" s="18" t="inlineStr">
        <is>
          <t>Case Exposed</t>
        </is>
      </c>
      <c r="E44" s="19" t="n"/>
      <c r="F44" s="19" t="n"/>
      <c r="G44" s="19" t="n"/>
      <c r="H44" s="19" t="n"/>
      <c r="I44" s="19" t="n"/>
      <c r="J44" s="19" t="n"/>
      <c r="K44" s="19" t="n"/>
      <c r="L44" s="19" t="n"/>
      <c r="M44" s="19" t="n"/>
      <c r="N44" s="19" t="n"/>
      <c r="O44" s="19" t="n"/>
      <c r="P44" s="19" t="n"/>
    </row>
    <row r="45">
      <c r="D45" s="18" t="inlineStr">
        <is>
          <t>Case Unexposed</t>
        </is>
      </c>
      <c r="E45" s="19" t="n"/>
      <c r="F45" s="19" t="n"/>
      <c r="G45" s="19" t="n"/>
      <c r="H45" s="19" t="n"/>
      <c r="I45" s="19" t="n"/>
      <c r="J45" s="19" t="n"/>
      <c r="K45" s="19" t="n"/>
      <c r="L45" s="19" t="n"/>
      <c r="M45" s="19" t="n"/>
      <c r="N45" s="19" t="n"/>
      <c r="O45" s="19" t="n"/>
      <c r="P45" s="19" t="n"/>
    </row>
  </sheetData>
  <mergeCells count="12">
    <mergeCell ref="B1:R1"/>
    <mergeCell ref="B24:C24"/>
    <mergeCell ref="B16:C16"/>
    <mergeCell ref="B44:C44"/>
    <mergeCell ref="B2:E6"/>
    <mergeCell ref="B20:C20"/>
    <mergeCell ref="B28:C28"/>
    <mergeCell ref="B36:C36"/>
    <mergeCell ref="B32:C32"/>
    <mergeCell ref="B40:C40"/>
    <mergeCell ref="B8:C8"/>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2026-04-07T10:05:49Z</dcterms:created>
  <dcterms:modified xmlns:dcterms="http://purl.org/dc/terms/" xmlns:xsi="http://www.w3.org/2001/XMLSchema-instance" xsi:type="dcterms:W3CDTF">2026-04-07T10:05:50Z</dcterms:modified>
</cp:coreProperties>
</file>