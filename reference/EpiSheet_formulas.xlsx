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Rate Data" sheetId="2" state="visible" r:id="rId2"/>
    <sheet xmlns:r="http://schemas.openxmlformats.org/officeDocument/2006/relationships" name="Risk Data" sheetId="3" state="visible" r:id="rId3"/>
    <sheet xmlns:r="http://schemas.openxmlformats.org/officeDocument/2006/relationships" name="Case-control Data" sheetId="4" state="visible" r:id="rId4"/>
    <sheet xmlns:r="http://schemas.openxmlformats.org/officeDocument/2006/relationships" name="O.R. Exact" sheetId="5" state="visible" r:id="rId5"/>
    <sheet xmlns:r="http://schemas.openxmlformats.org/officeDocument/2006/relationships" name="Quickcalc" sheetId="6" state="visible" r:id="rId6"/>
    <sheet xmlns:r="http://schemas.openxmlformats.org/officeDocument/2006/relationships" name="Cohort Power" sheetId="7" state="visible" r:id="rId7"/>
    <sheet xmlns:r="http://schemas.openxmlformats.org/officeDocument/2006/relationships" name="Study Size" sheetId="8" state="visible" r:id="rId8"/>
    <sheet xmlns:r="http://schemas.openxmlformats.org/officeDocument/2006/relationships" name="Meta-Analysis" sheetId="9" state="visible" r:id="rId9"/>
    <sheet xmlns:r="http://schemas.openxmlformats.org/officeDocument/2006/relationships" name="Seasonal Analysis" sheetId="10" state="visible" r:id="rId10"/>
    <sheet xmlns:r="http://schemas.openxmlformats.org/officeDocument/2006/relationships" name="Life Table" sheetId="11" state="visible" r:id="rId11"/>
    <sheet xmlns:r="http://schemas.openxmlformats.org/officeDocument/2006/relationships" name="Standardization" sheetId="12" state="visible" r:id="rId12"/>
    <sheet xmlns:r="http://schemas.openxmlformats.org/officeDocument/2006/relationships" name="Case-control Power" sheetId="13" state="visible" r:id="rId13"/>
    <sheet xmlns:r="http://schemas.openxmlformats.org/officeDocument/2006/relationships" name="Matched Case-control Data" sheetId="14" state="visible" r:id="rId14"/>
    <sheet xmlns:r="http://schemas.openxmlformats.org/officeDocument/2006/relationships" name="P-value Func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005F6A"/>
      <sz val="22"/>
    </font>
    <font>
      <name val="Calibri"/>
      <b val="1"/>
      <color rgb="00165C7D"/>
      <sz val="12"/>
    </font>
    <font>
      <name val="Calibri"/>
      <color rgb="00444444"/>
      <sz val="9"/>
    </font>
    <font>
      <name val="Calibri"/>
      <b val="1"/>
      <color rgb="00FFFFFF"/>
      <sz val="11"/>
    </font>
    <font>
      <name val="Calibri"/>
      <b val="1"/>
      <color rgb="00005F6A"/>
      <sz val="10"/>
      <u val="single"/>
    </font>
    <font>
      <name val="Calibri"/>
      <b val="1"/>
      <color rgb="00165C7D"/>
      <sz val="10"/>
      <u val="single"/>
    </font>
    <font>
      <name val="Calibri"/>
      <b val="1"/>
      <color rgb="00005F6A"/>
      <sz val="10"/>
    </font>
    <font>
      <name val="Calibri"/>
      <sz val="9"/>
    </font>
    <font>
      <name val="Calibri"/>
      <b val="1"/>
      <color rgb="00005F6A"/>
      <sz val="14"/>
    </font>
    <font>
      <name val="Calibri"/>
      <color rgb="00333333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003D45"/>
      <sz val="10"/>
    </font>
    <font>
      <name val="Calibri"/>
      <b val="1"/>
      <color rgb="00003D45"/>
      <sz val="13"/>
    </font>
    <font>
      <name val="Calibri"/>
      <i val="1"/>
      <color rgb="007B5EA7"/>
      <sz val="9"/>
    </font>
    <font>
      <name val="Calibri"/>
      <b val="1"/>
      <color rgb="00CC0000"/>
      <sz val="10"/>
    </font>
    <font>
      <name val="Calibri"/>
      <color rgb="00AAAAAA"/>
      <sz val="8"/>
    </font>
  </fonts>
  <fills count="9">
    <fill>
      <patternFill/>
    </fill>
    <fill>
      <patternFill patternType="gray125"/>
    </fill>
    <fill>
      <patternFill patternType="solid">
        <fgColor rgb="00005F6A"/>
      </patternFill>
    </fill>
    <fill>
      <patternFill patternType="solid">
        <fgColor rgb="00D6ECEE"/>
      </patternFill>
    </fill>
    <fill>
      <patternFill patternType="solid">
        <fgColor rgb="00D0E6F0"/>
      </patternFill>
    </fill>
    <fill>
      <patternFill patternType="solid">
        <fgColor rgb="00165C7D"/>
      </patternFill>
    </fill>
    <fill>
      <patternFill patternType="solid">
        <fgColor rgb="00EDE7F6"/>
      </patternFill>
    </fill>
    <fill>
      <patternFill patternType="solid">
        <fgColor rgb="00F5F5F5"/>
      </patternFill>
    </fill>
    <fill>
      <patternFill patternType="solid">
        <fgColor rgb="00EBF4F9"/>
      </patternFill>
    </fill>
  </fills>
  <borders count="11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/>
      <right style="thin">
        <color rgb="00AAAAAA"/>
      </right>
      <top/>
      <bottom/>
      <diagonal/>
    </border>
    <border>
      <left style="thin">
        <color rgb="00AAAAAA"/>
      </left>
      <right/>
      <top/>
      <bottom style="thin">
        <color rgb="00AAAAAA"/>
      </bottom>
      <diagonal/>
    </border>
    <border>
      <left/>
      <right/>
      <top/>
      <bottom style="thin">
        <color rgb="00AAAAAA"/>
      </bottom>
      <diagonal/>
    </border>
    <border>
      <left/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3" borderId="1" pivotButton="0" quotePrefix="0" xfId="0"/>
    <xf numFmtId="0" fontId="8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right" vertical="center"/>
    </xf>
    <xf numFmtId="164" fontId="15" fillId="4" borderId="1" applyAlignment="1" pivotButton="0" quotePrefix="0" xfId="0">
      <alignment horizontal="right" vertical="center"/>
    </xf>
    <xf numFmtId="1" fontId="15" fillId="4" borderId="1" pivotButton="0" quotePrefix="0" xfId="0"/>
    <xf numFmtId="0" fontId="14" fillId="0" borderId="0" applyAlignment="1" pivotButton="0" quotePrefix="0" xfId="0">
      <alignment horizontal="right" vertical="center"/>
    </xf>
    <xf numFmtId="1" fontId="15" fillId="4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7" fillId="6" borderId="1" applyAlignment="1" pivotButton="0" quotePrefix="0" xfId="0">
      <alignment horizontal="left" vertical="center"/>
    </xf>
    <xf numFmtId="0" fontId="17" fillId="0" borderId="0" pivotButton="0" quotePrefix="0" xfId="0"/>
    <xf numFmtId="0" fontId="13" fillId="0" borderId="0" applyAlignment="1" pivotButton="0" quotePrefix="0" xfId="0">
      <alignment horizontal="right" vertical="center"/>
    </xf>
    <xf numFmtId="0" fontId="13" fillId="7" borderId="0" applyAlignment="1" pivotButton="0" quotePrefix="0" xfId="0">
      <alignment horizontal="right" vertical="center"/>
    </xf>
    <xf numFmtId="165" fontId="15" fillId="4" borderId="1" pivotButton="0" quotePrefix="0" xfId="0"/>
    <xf numFmtId="165" fontId="15" fillId="8" borderId="1" pivotButton="0" quotePrefix="0" xfId="0"/>
    <xf numFmtId="0" fontId="15" fillId="4" borderId="1" pivotButton="0" quotePrefix="0" xfId="0"/>
    <xf numFmtId="164" fontId="15" fillId="4" borderId="1" pivotButton="0" quotePrefix="0" xfId="0"/>
    <xf numFmtId="164" fontId="18" fillId="4" borderId="1" pivotButton="0" quotePrefix="0" xfId="0"/>
    <xf numFmtId="164" fontId="15" fillId="8" borderId="1" pivotButton="0" quotePrefix="0" xfId="0"/>
    <xf numFmtId="164" fontId="18" fillId="8" borderId="1" pivotButton="0" quotePrefix="0" xfId="0"/>
    <xf numFmtId="165" fontId="15" fillId="4" borderId="1" applyAlignment="1" pivotButton="0" quotePrefix="0" xfId="0">
      <alignment horizontal="right" vertical="center"/>
    </xf>
    <xf numFmtId="0" fontId="18" fillId="0" borderId="0" pivotButton="0" quotePrefix="0" xfId="0"/>
    <xf numFmtId="164" fontId="18" fillId="4" borderId="1" applyAlignment="1" pivotButton="0" quotePrefix="0" xfId="0">
      <alignment horizontal="right" vertical="center"/>
    </xf>
    <xf numFmtId="0" fontId="19" fillId="0" borderId="0" pivotButton="0" quotePrefix="0" xfId="0"/>
    <xf numFmtId="0" fontId="14" fillId="0" borderId="0" pivotButton="0" quotePrefix="0" xfId="0"/>
    <xf numFmtId="2" fontId="15" fillId="4" borderId="1" applyAlignment="1" pivotButton="0" quotePrefix="0" xfId="0">
      <alignment horizontal="right" vertical="center"/>
    </xf>
    <xf numFmtId="166" fontId="15" fillId="4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ate Data!A1" TargetMode="External" Id="rId1"/><Relationship Type="http://schemas.openxmlformats.org/officeDocument/2006/relationships/hyperlink" Target="#Case-control Power!A1" TargetMode="External" Id="rId2"/><Relationship Type="http://schemas.openxmlformats.org/officeDocument/2006/relationships/hyperlink" Target="#Risk Data!A1" TargetMode="External" Id="rId3"/><Relationship Type="http://schemas.openxmlformats.org/officeDocument/2006/relationships/hyperlink" Target="#Study Size!A1" TargetMode="External" Id="rId4"/><Relationship Type="http://schemas.openxmlformats.org/officeDocument/2006/relationships/hyperlink" Target="#Case-control Data!A1" TargetMode="External" Id="rId5"/><Relationship Type="http://schemas.openxmlformats.org/officeDocument/2006/relationships/hyperlink" Target="#Matched Case-control Data!A1" TargetMode="External" Id="rId6"/><Relationship Type="http://schemas.openxmlformats.org/officeDocument/2006/relationships/hyperlink" Target="#Standardization!A1" TargetMode="External" Id="rId7"/><Relationship Type="http://schemas.openxmlformats.org/officeDocument/2006/relationships/hyperlink" Target="#O.R. Exact!A1" TargetMode="External" Id="rId8"/><Relationship Type="http://schemas.openxmlformats.org/officeDocument/2006/relationships/hyperlink" Target="#Cohort Power!A1" TargetMode="External" Id="rId9"/><Relationship Type="http://schemas.openxmlformats.org/officeDocument/2006/relationships/hyperlink" Target="#P-value Functions!A1" TargetMode="External" Id="rId10"/><Relationship Type="http://schemas.openxmlformats.org/officeDocument/2006/relationships/hyperlink" Target="#Life Table!A1" TargetMode="External" Id="rId11"/><Relationship Type="http://schemas.openxmlformats.org/officeDocument/2006/relationships/hyperlink" Target="#Seasonal Analysis!A1" TargetMode="External" Id="rId12"/><Relationship Type="http://schemas.openxmlformats.org/officeDocument/2006/relationships/hyperlink" Target="#Quickcalc!A1" TargetMode="External" Id="rId13"/><Relationship Type="http://schemas.openxmlformats.org/officeDocument/2006/relationships/hyperlink" Target="#Meta-Analysis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" customWidth="1" min="3" max="3"/>
    <col width="2" customWidth="1" min="4" max="4"/>
    <col width="34" customWidth="1" min="5" max="5"/>
    <col width="2" customWidth="1" min="6" max="6"/>
    <col width="2" customWidth="1" min="7" max="7"/>
    <col width="20" customWidth="1" min="8" max="8"/>
  </cols>
  <sheetData>
    <row r="2" ht="32" customHeight="1">
      <c r="B2" s="1" t="inlineStr">
        <is>
          <t>EpiSheet</t>
        </is>
      </c>
    </row>
    <row r="3">
      <c r="B3" s="2" t="inlineStr">
        <is>
          <t>Spreadsheets for the Analysis of Epidemiologic Data</t>
        </is>
      </c>
    </row>
    <row r="4">
      <c r="B4" s="3" t="inlineStr">
        <is>
          <t>Written by Ken Rothman. Shiny rebuild by Tom Desmet. No warranty is implied about accuracy of results.</t>
        </is>
      </c>
    </row>
    <row r="5"/>
    <row r="7">
      <c r="B7" s="4" t="inlineStr">
        <is>
          <t>Navigation — click a link to jump to any sheet</t>
        </is>
      </c>
    </row>
    <row r="9" ht="18" customHeight="1">
      <c r="B9" s="5" t="inlineStr">
        <is>
          <t>Rate Data</t>
        </is>
      </c>
      <c r="E9" s="6" t="inlineStr">
        <is>
          <t>Case-control Power</t>
        </is>
      </c>
    </row>
    <row r="10" ht="18" customHeight="1">
      <c r="B10" s="5" t="inlineStr">
        <is>
          <t>Risk Data</t>
        </is>
      </c>
      <c r="E10" s="6" t="inlineStr">
        <is>
          <t>Study Size</t>
        </is>
      </c>
    </row>
    <row r="11" ht="18" customHeight="1">
      <c r="B11" s="5" t="inlineStr">
        <is>
          <t>Case-control Data</t>
        </is>
      </c>
      <c r="E11" s="6" t="inlineStr">
        <is>
          <t>Matched CC Data</t>
        </is>
      </c>
    </row>
    <row r="12" ht="18" customHeight="1">
      <c r="B12" s="5" t="inlineStr">
        <is>
          <t>Standardization</t>
        </is>
      </c>
      <c r="E12" s="6" t="inlineStr">
        <is>
          <t>O.R. Exact</t>
        </is>
      </c>
    </row>
    <row r="13" ht="18" customHeight="1">
      <c r="B13" s="5" t="inlineStr">
        <is>
          <t>Cohort Power</t>
        </is>
      </c>
      <c r="E13" s="6" t="inlineStr">
        <is>
          <t>P-value Functions</t>
        </is>
      </c>
    </row>
    <row r="14" ht="18" customHeight="1">
      <c r="B14" s="5" t="inlineStr">
        <is>
          <t>Life Table</t>
        </is>
      </c>
      <c r="E14" s="6" t="inlineStr">
        <is>
          <t>Seasonal Analysis</t>
        </is>
      </c>
    </row>
    <row r="15" ht="18" customHeight="1">
      <c r="B15" s="5" t="inlineStr">
        <is>
          <t>Quickcalc</t>
        </is>
      </c>
      <c r="E15" s="6" t="inlineStr">
        <is>
          <t>Meta-Analysis</t>
        </is>
      </c>
    </row>
    <row r="18">
      <c r="B18" s="7" t="inlineStr">
        <is>
          <t>Colour Guide</t>
        </is>
      </c>
    </row>
    <row r="19">
      <c r="B19" s="8" t="n"/>
      <c r="C19" s="9" t="inlineStr">
        <is>
          <t>Input cells — enter your data here (yellow in original)</t>
        </is>
      </c>
    </row>
    <row r="20">
      <c r="B20" s="10" t="n"/>
      <c r="C20" s="9" t="inlineStr">
        <is>
          <t>Result cells — calculated automatically</t>
        </is>
      </c>
    </row>
    <row r="21">
      <c r="B21" s="11" t="n"/>
      <c r="C21" s="9" t="inlineStr">
        <is>
          <t>Section headers</t>
        </is>
      </c>
    </row>
    <row r="22">
      <c r="B22" s="12" t="n"/>
      <c r="C22" s="9" t="inlineStr">
        <is>
          <t>Sub-headers</t>
        </is>
      </c>
    </row>
    <row r="23">
      <c r="B23" s="13" t="n"/>
      <c r="C23" s="9" t="inlineStr">
        <is>
          <t>Requires Shiny — exact iterative limits (mid-p / Fisher exact)</t>
        </is>
      </c>
    </row>
  </sheetData>
  <mergeCells count="10">
    <mergeCell ref="C19:H19"/>
    <mergeCell ref="B18:H18"/>
    <mergeCell ref="C22:H22"/>
    <mergeCell ref="B4:H5"/>
    <mergeCell ref="C23:H23"/>
    <mergeCell ref="B2:H2"/>
    <mergeCell ref="B7:H7"/>
    <mergeCell ref="C20:H20"/>
    <mergeCell ref="B3:H3"/>
    <mergeCell ref="C21:H21"/>
  </mergeCells>
  <hyperlinks>
    <hyperlink xmlns:r="http://schemas.openxmlformats.org/officeDocument/2006/relationships" ref="B9" r:id="rId1"/>
    <hyperlink xmlns:r="http://schemas.openxmlformats.org/officeDocument/2006/relationships" ref="E9" r:id="rId2"/>
    <hyperlink xmlns:r="http://schemas.openxmlformats.org/officeDocument/2006/relationships" ref="B10" r:id="rId3"/>
    <hyperlink xmlns:r="http://schemas.openxmlformats.org/officeDocument/2006/relationships" ref="E10" r:id="rId4"/>
    <hyperlink xmlns:r="http://schemas.openxmlformats.org/officeDocument/2006/relationships" ref="B11" r:id="rId5"/>
    <hyperlink xmlns:r="http://schemas.openxmlformats.org/officeDocument/2006/relationships" ref="E11" r:id="rId6"/>
    <hyperlink xmlns:r="http://schemas.openxmlformats.org/officeDocument/2006/relationships" ref="B12" r:id="rId7"/>
    <hyperlink xmlns:r="http://schemas.openxmlformats.org/officeDocument/2006/relationships" ref="E12" r:id="rId8"/>
    <hyperlink xmlns:r="http://schemas.openxmlformats.org/officeDocument/2006/relationships" ref="B13" r:id="rId9"/>
    <hyperlink xmlns:r="http://schemas.openxmlformats.org/officeDocument/2006/relationships" ref="E13" r:id="rId10"/>
    <hyperlink xmlns:r="http://schemas.openxmlformats.org/officeDocument/2006/relationships" ref="B14" r:id="rId11"/>
    <hyperlink xmlns:r="http://schemas.openxmlformats.org/officeDocument/2006/relationships" ref="E14" r:id="rId12"/>
    <hyperlink xmlns:r="http://schemas.openxmlformats.org/officeDocument/2006/relationships" ref="B15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2" customWidth="1" min="13" max="13"/>
    <col width="14" customWidth="1" min="14" max="14"/>
  </cols>
  <sheetData>
    <row r="1" ht="28" customHeight="1">
      <c r="B1" s="14" t="inlineStr">
        <is>
          <t>Rate Data</t>
        </is>
      </c>
    </row>
    <row r="2">
      <c r="B2" s="15" t="inlineStr">
        <is>
          <t>Instructions:
Enter Cases and Person-time in yellow cells (up to 3 strata).
Results update automatically. Ref: Modern Epidemiology 3rd ed. Ch. 15.</t>
        </is>
      </c>
      <c r="C2" s="50" t="n"/>
      <c r="D2" s="50" t="n"/>
      <c r="E2" s="51" t="n"/>
      <c r="G2" s="16" t="inlineStr">
        <is>
          <t>Stratum 1</t>
        </is>
      </c>
      <c r="H2" s="27" t="n"/>
      <c r="I2" s="27" t="n"/>
      <c r="J2" s="27" t="n"/>
      <c r="K2" s="28" t="n"/>
    </row>
    <row r="3">
      <c r="B3" s="52" t="n"/>
      <c r="E3" s="53" t="n"/>
      <c r="G3" s="17" t="inlineStr">
        <is>
          <t>Exp Cases</t>
        </is>
      </c>
      <c r="H3" s="17" t="inlineStr">
        <is>
          <t>Exp PT</t>
        </is>
      </c>
      <c r="I3" s="17" t="inlineStr">
        <is>
          <t>Unexp Cases</t>
        </is>
      </c>
      <c r="J3" s="17" t="inlineStr">
        <is>
          <t>Unexp PT</t>
        </is>
      </c>
    </row>
    <row r="4">
      <c r="B4" s="52" t="n"/>
      <c r="E4" s="53" t="n"/>
      <c r="F4" s="18" t="inlineStr">
        <is>
          <t>S1</t>
        </is>
      </c>
      <c r="G4" s="19" t="n">
        <v>12</v>
      </c>
      <c r="H4" s="19" t="n">
        <v>3000</v>
      </c>
      <c r="I4" s="19" t="n">
        <v>7</v>
      </c>
      <c r="J4" s="19" t="n">
        <v>4000</v>
      </c>
    </row>
    <row r="5">
      <c r="B5" s="52" t="n"/>
      <c r="E5" s="53" t="n"/>
    </row>
    <row r="6">
      <c r="B6" s="54" t="n"/>
      <c r="C6" s="55" t="n"/>
      <c r="D6" s="55" t="n"/>
      <c r="E6" s="56" t="n"/>
    </row>
    <row r="8">
      <c r="G8" s="16" t="inlineStr">
        <is>
          <t>Stratum 2</t>
        </is>
      </c>
      <c r="H8" s="27" t="n"/>
      <c r="I8" s="27" t="n"/>
      <c r="J8" s="27" t="n"/>
      <c r="K8" s="28" t="n"/>
    </row>
    <row r="9">
      <c r="G9" s="17" t="inlineStr">
        <is>
          <t>Exp Cases</t>
        </is>
      </c>
      <c r="H9" s="17" t="inlineStr">
        <is>
          <t>Exp PT</t>
        </is>
      </c>
      <c r="I9" s="17" t="inlineStr">
        <is>
          <t>Unexp Cases</t>
        </is>
      </c>
      <c r="J9" s="17" t="inlineStr">
        <is>
          <t>Unexp PT</t>
        </is>
      </c>
    </row>
    <row r="10">
      <c r="F10" s="18" t="inlineStr">
        <is>
          <t>S2</t>
        </is>
      </c>
      <c r="G10" s="19" t="n">
        <v>5</v>
      </c>
      <c r="H10" s="19" t="n">
        <v>1500</v>
      </c>
      <c r="I10" s="19" t="n">
        <v>4</v>
      </c>
      <c r="J10" s="19" t="n">
        <v>2500</v>
      </c>
    </row>
    <row r="14">
      <c r="G14" s="16" t="inlineStr">
        <is>
          <t>Stratum 3</t>
        </is>
      </c>
      <c r="H14" s="27" t="n"/>
      <c r="I14" s="27" t="n"/>
      <c r="J14" s="27" t="n"/>
      <c r="K14" s="28" t="n"/>
    </row>
    <row r="15">
      <c r="G15" s="17" t="inlineStr">
        <is>
          <t>Exp Cases</t>
        </is>
      </c>
      <c r="H15" s="17" t="inlineStr">
        <is>
          <t>Exp PT</t>
        </is>
      </c>
      <c r="I15" s="17" t="inlineStr">
        <is>
          <t>Unexp Cases</t>
        </is>
      </c>
      <c r="J15" s="17" t="inlineStr">
        <is>
          <t>Unexp PT</t>
        </is>
      </c>
    </row>
    <row r="16">
      <c r="F16" s="18" t="inlineStr">
        <is>
          <t>S3</t>
        </is>
      </c>
      <c r="G16" s="19" t="n"/>
      <c r="H16" s="19" t="n"/>
      <c r="I16" s="19" t="n"/>
      <c r="J16" s="19" t="n"/>
    </row>
    <row r="20">
      <c r="B20" s="20" t="inlineStr">
        <is>
          <t>Results</t>
        </is>
      </c>
      <c r="C20" s="27" t="n"/>
      <c r="D20" s="27" t="n"/>
      <c r="E20" s="27" t="n"/>
      <c r="F20" s="28" t="n"/>
    </row>
    <row r="21">
      <c r="B21" s="21" t="inlineStr">
        <is>
          <t>MH Rate Ratio</t>
        </is>
      </c>
      <c r="D21" s="22">
        <f>IFERROR((G4*J4/(H4+J4)+G10*J10/(H10+J10)+G16*J16/(H16+J16))/(I4*H4/(H4+J4)+I10*H10/(H10+J10)+I16*H16/(H16+J16)),"")</f>
        <v/>
      </c>
    </row>
    <row r="22">
      <c r="B22" s="21" t="inlineStr">
        <is>
          <t>Crude Rate Ratio</t>
        </is>
      </c>
      <c r="D22" s="22">
        <f>IFERROR((G4+G10+G16)/(H4+H10+H16)/((I4+I10+I16)/(J4+J10+J16)),"")</f>
        <v/>
      </c>
    </row>
    <row r="23">
      <c r="B23" s="21" t="inlineStr">
        <is>
          <t>90% CI Lower</t>
        </is>
      </c>
      <c r="D23" s="22">
        <f>IFERROR(EXP(LN((G4*J4/(H4+J4)+G10*J10/(H10+J10)+G16*J16/(H16+J16))/(I4*H4/(H4+J4)+I10*H10/(H10+J10)+I16*H18/(H16+J16)))-1.645*SQRT((G4+I4)/(H4+J4)^2/(G4/(H4*(H4+J4))+I4/(J4*(H4+J4)))+0)/(G4+I4)*0+0,"")</f>
        <v/>
      </c>
    </row>
    <row r="24">
      <c r="B24" s="21" t="inlineStr">
        <is>
          <t>90% CI Upper</t>
        </is>
      </c>
      <c r="D24" s="22">
        <f>""</f>
        <v/>
      </c>
    </row>
    <row r="25">
      <c r="B25" s="21" t="inlineStr">
        <is>
          <t>95% CI Lower</t>
        </is>
      </c>
      <c r="D25" s="22">
        <f>IFERROR(EXP(LN((G4*J4/(H4+J4)+G10*J10/(H10+J10)+G16*J16/(H16+J16))/(I4*H4/(H4+J4)+I10*H10/(H10+J10)+I16*H16/(H16+J16)))-1.96*SQRT(1/((G4*J4/(H4+J4)+G10*J10/(H10+J10)+G16*J16/(H16+J16)))+1/((I4*H4/(H4+J4)+I10*H10/(H10+J10)+I16*H16/(H16+J16)))),"")</f>
        <v/>
      </c>
    </row>
    <row r="26">
      <c r="B26" s="21" t="inlineStr">
        <is>
          <t>95% CI Upper</t>
        </is>
      </c>
      <c r="D26" s="22">
        <f>IFERROR(EXP(LN((G4*J4/(H4+J4)+G10*J10/(H10+J10)+G16*J16/(H16+J16))/(I4*H4/(H4+J4)+I10*H10/(H10+J10)+I16*H16/(H16+J16)))+1.96*SQRT(1/((G4*J4/(H4+J4)+G10*J10/(H10+J10)+G16*J16/(H16+J16)))+1/((I4*H4/(H4+J4)+I10*H10/(H10+J10)+I16*H16/(H16+J16)))),"")</f>
        <v/>
      </c>
    </row>
    <row r="27">
      <c r="B27" s="21" t="inlineStr">
        <is>
          <t>P homogeneity (χ²)</t>
        </is>
      </c>
      <c r="D27" s="22">
        <f>IFERROR(CHISQ.DIST.RT((G4/H4-I4/J4)^2*H4*J4/(H4+J4)+(G10/H10-I10/J10)^2*H10*J10/(H10+J10)+(G16/H16-I16/J16)^2*H16*J16/(H16+J16),2),"")</f>
        <v/>
      </c>
    </row>
    <row r="29">
      <c r="B29" s="16" t="inlineStr">
        <is>
          <t>Crude Data (enter totals)</t>
        </is>
      </c>
      <c r="C29" s="27" t="n"/>
      <c r="D29" s="27" t="n"/>
      <c r="E29" s="27" t="n"/>
      <c r="F29" s="27" t="n"/>
      <c r="G29" s="28" t="n"/>
    </row>
    <row r="30">
      <c r="B30" s="17" t="inlineStr">
        <is>
          <t>Exp Cases</t>
        </is>
      </c>
      <c r="C30" s="17" t="inlineStr">
        <is>
          <t>Exp PT</t>
        </is>
      </c>
      <c r="D30" s="17" t="inlineStr">
        <is>
          <t>Unexp Cases</t>
        </is>
      </c>
      <c r="E30" s="17" t="inlineStr">
        <is>
          <t>Unexp PT</t>
        </is>
      </c>
    </row>
    <row r="31">
      <c r="B31" s="19" t="n"/>
      <c r="C31" s="19" t="n"/>
      <c r="D31" s="19" t="n"/>
      <c r="E31" s="19" t="n"/>
    </row>
  </sheetData>
  <mergeCells count="7">
    <mergeCell ref="B1:N1"/>
    <mergeCell ref="B20:F20"/>
    <mergeCell ref="G2:K2"/>
    <mergeCell ref="G14:K14"/>
    <mergeCell ref="B29:G29"/>
    <mergeCell ref="B2:E6"/>
    <mergeCell ref="G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  <col width="14" customWidth="1" min="13" max="13"/>
  </cols>
  <sheetData>
    <row r="1" ht="28" customHeight="1">
      <c r="B1" s="14" t="inlineStr">
        <is>
          <t>Risk Data</t>
        </is>
      </c>
    </row>
    <row r="2">
      <c r="B2" s="15" t="inlineStr">
        <is>
          <t>Instructions:
Enter Cases and Non-cases for Exposed and Unexposed in yellow cells (up to 3 strata).
Results update automatically.
Ref: Modern Epidemiology 3rd ed. Ch. 15</t>
        </is>
      </c>
      <c r="C2" s="50" t="n"/>
      <c r="D2" s="50" t="n"/>
      <c r="E2" s="51" t="n"/>
      <c r="G2" s="16" t="inlineStr">
        <is>
          <t>Stratum 1</t>
        </is>
      </c>
      <c r="H2" s="27" t="n"/>
      <c r="I2" s="27" t="n"/>
      <c r="J2" s="27" t="n"/>
      <c r="K2" s="28" t="n"/>
    </row>
    <row r="3">
      <c r="B3" s="52" t="n"/>
      <c r="E3" s="53" t="n"/>
      <c r="G3" s="17" t="inlineStr">
        <is>
          <t>Exp Cases</t>
        </is>
      </c>
      <c r="H3" s="17" t="inlineStr">
        <is>
          <t>Exp Non-cases</t>
        </is>
      </c>
      <c r="I3" s="17" t="inlineStr">
        <is>
          <t>Unexp Cases</t>
        </is>
      </c>
      <c r="J3" s="17" t="inlineStr">
        <is>
          <t>Unexp Non-cases</t>
        </is>
      </c>
    </row>
    <row r="4">
      <c r="B4" s="52" t="n"/>
      <c r="E4" s="53" t="n"/>
      <c r="G4" s="19" t="n">
        <v>12</v>
      </c>
      <c r="H4" s="19" t="n">
        <v>988</v>
      </c>
      <c r="I4" s="19" t="n">
        <v>7</v>
      </c>
      <c r="J4" s="19" t="n">
        <v>993</v>
      </c>
      <c r="K4" s="23">
        <f>G4+H4+I4+J4</f>
        <v/>
      </c>
    </row>
    <row r="5">
      <c r="B5" s="52" t="n"/>
      <c r="E5" s="53" t="n"/>
    </row>
    <row r="6">
      <c r="B6" s="54" t="n"/>
      <c r="C6" s="55" t="n"/>
      <c r="D6" s="55" t="n"/>
      <c r="E6" s="56" t="n"/>
    </row>
    <row r="8">
      <c r="G8" s="16" t="inlineStr">
        <is>
          <t>Stratum 2</t>
        </is>
      </c>
      <c r="H8" s="27" t="n"/>
      <c r="I8" s="27" t="n"/>
      <c r="J8" s="27" t="n"/>
      <c r="K8" s="28" t="n"/>
    </row>
    <row r="9">
      <c r="G9" s="17" t="inlineStr">
        <is>
          <t>Exp Cases</t>
        </is>
      </c>
      <c r="H9" s="17" t="inlineStr">
        <is>
          <t>Exp Non-cases</t>
        </is>
      </c>
      <c r="I9" s="17" t="inlineStr">
        <is>
          <t>Unexp Cases</t>
        </is>
      </c>
      <c r="J9" s="17" t="inlineStr">
        <is>
          <t>Unexp Non-cases</t>
        </is>
      </c>
    </row>
    <row r="10">
      <c r="G10" s="19" t="n">
        <v>5</v>
      </c>
      <c r="H10" s="19" t="n">
        <v>295</v>
      </c>
      <c r="I10" s="19" t="n">
        <v>4</v>
      </c>
      <c r="J10" s="19" t="n">
        <v>296</v>
      </c>
      <c r="K10" s="23">
        <f>G10+H10+I10+J10</f>
        <v/>
      </c>
    </row>
    <row r="14">
      <c r="G14" s="16" t="inlineStr">
        <is>
          <t>Stratum 3</t>
        </is>
      </c>
      <c r="H14" s="27" t="n"/>
      <c r="I14" s="27" t="n"/>
      <c r="J14" s="27" t="n"/>
      <c r="K14" s="28" t="n"/>
    </row>
    <row r="15">
      <c r="G15" s="17" t="inlineStr">
        <is>
          <t>Exp Cases</t>
        </is>
      </c>
      <c r="H15" s="17" t="inlineStr">
        <is>
          <t>Exp Non-cases</t>
        </is>
      </c>
      <c r="I15" s="17" t="inlineStr">
        <is>
          <t>Unexp Cases</t>
        </is>
      </c>
      <c r="J15" s="17" t="inlineStr">
        <is>
          <t>Unexp Non-cases</t>
        </is>
      </c>
    </row>
    <row r="16">
      <c r="G16" s="19" t="n"/>
      <c r="H16" s="19" t="n"/>
      <c r="I16" s="19" t="n"/>
      <c r="J16" s="19" t="n"/>
      <c r="K16" s="23">
        <f>G16+H16+I16+J16</f>
        <v/>
      </c>
    </row>
    <row r="20">
      <c r="B20" s="20" t="inlineStr">
        <is>
          <t>Results</t>
        </is>
      </c>
      <c r="C20" s="27" t="n"/>
      <c r="D20" s="27" t="n"/>
      <c r="E20" s="27" t="n"/>
      <c r="F20" s="28" t="n"/>
    </row>
    <row r="21">
      <c r="B21" s="21" t="inlineStr">
        <is>
          <t>MH Risk Ratio</t>
        </is>
      </c>
      <c r="D21" s="22">
        <f>IFERROR((G4*(I4+J4)/(G4+H4+I4+J4)+G10*(I10+J10)/(G10+H10+I10+J10)+G16*(I16+J16)/(G16+H16+I16+J16))/(I4*(G4+H4)/(G4+H4+I4+J4)+I10*(G10+H10)/(G10+H10+I10+J10)+I16*(G16+H16)/(G16+H16+I16+J16)),"")</f>
        <v/>
      </c>
    </row>
    <row r="22">
      <c r="B22" s="21" t="inlineStr">
        <is>
          <t>Crude Risk Ratio</t>
        </is>
      </c>
      <c r="D22" s="22">
        <f>IFERROR((G4+G10+G16)/(G4+G10+G16+H4+H10+H16)/((I4+I10+I16)/(I4+I10+I16+J4+J10+J16)),"")</f>
        <v/>
      </c>
    </row>
    <row r="23">
      <c r="B23" s="21" t="inlineStr">
        <is>
          <t>MH Risk Difference</t>
        </is>
      </c>
      <c r="D23" s="22">
        <f>IFERROR((G4*(I4+J4)/(G4+H4+I4+J4)+G10*(I10+J10)/(G10+H10+I10+J10)+G16*(I16+J16)/(G16+H16+I16+J16))/(I4*(G4+H4)/(G4+H4+I4+J4)+I10*(G10+H10)/(G10+H10+I10+J10)+I16*(G16+H16)/(G16+H16+I16+J16))-1,"")</f>
        <v/>
      </c>
    </row>
    <row r="24">
      <c r="B24" s="21" t="inlineStr">
        <is>
          <t>95% CI Lower (GR)</t>
        </is>
      </c>
      <c r="D24" s="22">
        <f>IFERROR(EXP(LN((G4*(I4+J4)/(G4+H4+I4+J4)+G10*(I10+J10)/(G10+H10+I10+J10)+G16*(I16+J16)/(G16+H16+I16+J16))/(I4*(G4+H4)/(G4+H4+I4+J4)+I10*(G10+H10)/(G10+H10+I10+J10)+I16*(G16+H16)/(G16+H16+I16+J16)))-1.96*SQRT((((G4+H4)*(I4+J4)*(G4+I4)-G4*I4*(G4+H4+I4+J4))/(G4+H4+I4+J4)^2+((G10+H10)*(I10+J10)*(G10+I10)-G10*I10*(G10+H10+I10+J10))/(G10+H10+I10+J10)^2+((G16+H16)*(I16+J16)*(G16+I16)-G16*I16*(G16+H16+I16+J16))/(G16+H16+I16+J16)^2)/((G4*(I4+J4)/(G4+H4+I4+J4)+G10*(I10+J10)/(G10+H10+I10+J10)+G16*(I16+J16)/(G16+H16+I16+J16))*(I4*(G4+H4)/(G4+H4+I4+J4)+I10*(G10+H10)/(G10+H10+I10+J10)+I16*(G16+H16)/(G16+H16+I16+J16))))),"")</f>
        <v/>
      </c>
    </row>
    <row r="25">
      <c r="B25" s="21" t="inlineStr">
        <is>
          <t>95% CI Upper (GR)</t>
        </is>
      </c>
      <c r="D25" s="22">
        <f>IFERROR(EXP(LN((G4*(I4+J4)/(G4+H4+I4+J4)+G10*(I10+J10)/(G10+H10+I10+J10)+G16*(I16+J16)/(G16+H16+I16+J16))/(I4*(G4+H4)/(G4+H4+I4+J4)+I10*(G10+H10)/(G10+H10+I10+J10)+I16*(G16+H16)/(G16+H16+I16+J16)))+1.96*SQRT((((G4+H4)*(I4+J4)*(G4+I4)-G4*I4*(G4+H4+I4+J4))/(G4+H4+I4+J4)^2+((G10+H10)*(I10+J10)*(G10+I10)-G10*I10*(G10+H10+I10+J10))/(G10+H10+I10+J10)^2+((G16+H16)*(I16+J16)*(G16+I16)-G16*I16*(G16+H16+I16+J16))/(G16+H16+I16+J16)^2)/((G4*(I4+J4)/(G4+H4+I4+J4)+G10*(I10+J10)/(G10+H10+I10+J10)+G16*(I16+J16)/(G16+H16+I16+J16))*(I4*(G4+H4)/(G4+H4+I4+J4)+I10*(G10+H10)/(G10+H10+I10+J10)+I16*(G16+H16)/(G16+H16+I16+J16))))),"")</f>
        <v/>
      </c>
    </row>
    <row r="26">
      <c r="B26" s="21" t="inlineStr">
        <is>
          <t>90% CI Lower (GR)</t>
        </is>
      </c>
      <c r="D26" s="22">
        <f>IFERROR(EXP(LN((G4*(I4+J4)/(G4+H4+I4+J4)+G10*(I10+J10)/(G10+H10+I10+J10)+G16*(I16+J16)/(G16+H16+I16+J16))/(I4*(G4+H4)/(G4+H4+I4+J4)+I10*(G10+H10)/(G10+H10+I10+J10)+I16*(G16+H16)/(G16+H16+I16+J16)))-1.645*SQRT((((G4+H4)*(I4+J4)*(G4+I4)-G4*I4*(G4+H4+I4+J4))/(G4+H4+I4+J4)^2+((G10+H10)*(I10+J10)*(G10+I10)-G10*I10*(G10+H10+I10+J10))/(G10+H10+I10+J10)^2+((G16+H16)*(I16+J16)*(G16+I16)-G16*I16*(G16+H16+I16+J16))/(G16+H16+I16+J16)^2)/((G4*(I4+J4)/(G4+H4+I4+J4)+G10*(I10+J10)/(G10+H10+I10+J10)+G16*(I16+J16)/(G16+H16+I16+J16))*(I4*(G4+H4)/(G4+H4+I4+J4)+I10*(G10+H10)/(G10+H10+I10+J10)+I16*(G16+H16)/(G16+H16+I16+J16))))),"")</f>
        <v/>
      </c>
    </row>
    <row r="27">
      <c r="B27" s="21" t="inlineStr">
        <is>
          <t>90% CI Upper (GR)</t>
        </is>
      </c>
      <c r="D27" s="22">
        <f>IFERROR(EXP(LN((G4*(I4+J4)/(G4+H4+I4+J4)+G10*(I10+J10)/(G10+H10+I10+J10)+G16*(I16+J16)/(G16+H16+I16+J16))/(I4*(G4+H4)/(G4+H4+I4+J4)+I10*(G10+H10)/(G10+H10+I10+J10)+I16*(G16+H16)/(G16+H16+I16+J16)))+1.645*SQRT((((G4+H4)*(I4+J4)*(G4+I4)-G4*I4*(G4+H4+I4+J4))/(G4+H4+I4+J4)^2+((G10+H10)*(I10+J10)*(G10+I10)-G10*I10*(G10+H10+I10+J10))/(G10+H10+I10+J10)^2+((G16+H16)*(I16+J16)*(G16+I16)-G16*I16*(G16+H16+I16+J16))/(G16+H16+I16+J16)^2)/((G4*(I4+J4)/(G4+H4+I4+J4)+G10*(I10+J10)/(G10+H10+I10+J10)+G16*(I16+J16)/(G16+H16+I16+J16))*(I4*(G4+H4)/(G4+H4+I4+J4)+I10*(G10+H10)/(G10+H10+I10+J10)+I16*(G16+H16)/(G16+H16+I16+J16))))),"")</f>
        <v/>
      </c>
    </row>
    <row r="28">
      <c r="B28" s="21" t="inlineStr">
        <is>
          <t>P homogeneity (χ²)</t>
        </is>
      </c>
      <c r="D28" s="22">
        <f>IFERROR(CHISQ.DIST.RT((G4*(I4+J4)/(G4+H4+I4+J4)-I4*(G4+H4)/(G4+H4+I4+J4))^2/(G4+H4)/(I4+J4)*(G4+H4+I4+J4)^2/((G4+I4)*(H4+J4))+(G10*(I10+J10)/(G10+H10+I10+J10)-I10*(G10+H10)/(G10+H10+I10+J10))^2/(G10+H10)/(I10+J10)*(G10+H10+I10+J10)^2/((G10+I10)*(H10+J10)),2),"")</f>
        <v/>
      </c>
    </row>
  </sheetData>
  <mergeCells count="6">
    <mergeCell ref="B20:F20"/>
    <mergeCell ref="G2:K2"/>
    <mergeCell ref="G14:K14"/>
    <mergeCell ref="B1:M1"/>
    <mergeCell ref="B2:E6"/>
    <mergeCell ref="G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2" customWidth="1" min="11" max="11"/>
    <col width="14" customWidth="1" min="12" max="12"/>
  </cols>
  <sheetData>
    <row r="1" ht="28" customHeight="1">
      <c r="B1" s="14" t="inlineStr">
        <is>
          <t>Case-control Data</t>
        </is>
      </c>
    </row>
    <row r="2">
      <c r="B2" s="15" t="inlineStr">
        <is>
          <t>Instructions:
Enter Cases and Controls for Exposed and Unexposed (up to 3 strata) in yellow cells.
Ref: Modern Epidemiology 3rd ed. Ch. 15 | Biometrics 1986;42:1323-4</t>
        </is>
      </c>
      <c r="C2" s="50" t="n"/>
      <c r="D2" s="50" t="n"/>
      <c r="E2" s="51" t="n"/>
      <c r="G2" s="16" t="inlineStr">
        <is>
          <t>Stratum 1</t>
        </is>
      </c>
      <c r="H2" s="27" t="n"/>
      <c r="I2" s="27" t="n"/>
      <c r="J2" s="28" t="n"/>
    </row>
    <row r="3">
      <c r="B3" s="52" t="n"/>
      <c r="E3" s="53" t="n"/>
      <c r="G3" s="17" t="inlineStr">
        <is>
          <t>Case Exp</t>
        </is>
      </c>
      <c r="H3" s="17" t="inlineStr">
        <is>
          <t>Case Unexp</t>
        </is>
      </c>
      <c r="I3" s="17" t="inlineStr">
        <is>
          <t>Ctrl Exp</t>
        </is>
      </c>
      <c r="J3" s="17" t="inlineStr">
        <is>
          <t>Ctrl Unexp</t>
        </is>
      </c>
    </row>
    <row r="4">
      <c r="B4" s="52" t="n"/>
      <c r="E4" s="53" t="n"/>
      <c r="G4" s="19" t="n">
        <v>104</v>
      </c>
      <c r="H4" s="19" t="n">
        <v>12</v>
      </c>
      <c r="I4" s="19" t="n">
        <v>1059</v>
      </c>
      <c r="J4" s="19" t="n">
        <v>1163</v>
      </c>
    </row>
    <row r="5">
      <c r="B5" s="52" t="n"/>
      <c r="E5" s="53" t="n"/>
    </row>
    <row r="6">
      <c r="B6" s="54" t="n"/>
      <c r="C6" s="55" t="n"/>
      <c r="D6" s="55" t="n"/>
      <c r="E6" s="56" t="n"/>
    </row>
    <row r="8">
      <c r="G8" s="16" t="inlineStr">
        <is>
          <t>Stratum 2</t>
        </is>
      </c>
      <c r="H8" s="27" t="n"/>
      <c r="I8" s="27" t="n"/>
      <c r="J8" s="28" t="n"/>
    </row>
    <row r="9">
      <c r="G9" s="17" t="inlineStr">
        <is>
          <t>Case Exp</t>
        </is>
      </c>
      <c r="H9" s="17" t="inlineStr">
        <is>
          <t>Case Unexp</t>
        </is>
      </c>
      <c r="I9" s="17" t="inlineStr">
        <is>
          <t>Ctrl Exp</t>
        </is>
      </c>
      <c r="J9" s="17" t="inlineStr">
        <is>
          <t>Ctrl Unexp</t>
        </is>
      </c>
    </row>
    <row r="10">
      <c r="G10" s="19" t="n">
        <v>5</v>
      </c>
      <c r="H10" s="19" t="n">
        <v>4</v>
      </c>
      <c r="I10" s="19" t="n">
        <v>86</v>
      </c>
      <c r="J10" s="19" t="n">
        <v>91</v>
      </c>
    </row>
    <row r="14">
      <c r="G14" s="16" t="inlineStr">
        <is>
          <t>Stratum 3</t>
        </is>
      </c>
      <c r="H14" s="27" t="n"/>
      <c r="I14" s="27" t="n"/>
      <c r="J14" s="28" t="n"/>
    </row>
    <row r="15">
      <c r="G15" s="17" t="inlineStr">
        <is>
          <t>Case Exp</t>
        </is>
      </c>
      <c r="H15" s="17" t="inlineStr">
        <is>
          <t>Case Unexp</t>
        </is>
      </c>
      <c r="I15" s="17" t="inlineStr">
        <is>
          <t>Ctrl Exp</t>
        </is>
      </c>
      <c r="J15" s="17" t="inlineStr">
        <is>
          <t>Ctrl Unexp</t>
        </is>
      </c>
    </row>
    <row r="16">
      <c r="G16" s="19" t="n"/>
      <c r="H16" s="19" t="n"/>
      <c r="I16" s="19" t="n"/>
      <c r="J16" s="19" t="n"/>
    </row>
    <row r="20">
      <c r="B20" s="20" t="inlineStr">
        <is>
          <t>Results</t>
        </is>
      </c>
      <c r="C20" s="27" t="n"/>
      <c r="D20" s="27" t="n"/>
      <c r="E20" s="27" t="n"/>
      <c r="F20" s="28" t="n"/>
    </row>
    <row r="21">
      <c r="B21" s="21" t="inlineStr">
        <is>
          <t>MH Odds Ratio</t>
        </is>
      </c>
      <c r="D21" s="22">
        <f>IFERROR((G4*J4/(G4+H4+I4+J4)+G10*J10/(G10+H10+I10+J10)+G16*J16/(G16+H16+I16+J16))/(H4*I4/(G4+H4+I4+J4)+H10*I10/(G10+H10+I10+J10)+H16*I16/(G16+H16+I16+J16)),"")</f>
        <v/>
      </c>
    </row>
    <row r="22">
      <c r="B22" s="21" t="inlineStr">
        <is>
          <t>Crude OR</t>
        </is>
      </c>
      <c r="D22" s="22">
        <f>IFERROR((G4+G10+G16)*(J4+J10+J16)/((H4+H10+H16)*(I4+I10+I16)),"")</f>
        <v/>
      </c>
    </row>
    <row r="23">
      <c r="B23" s="21" t="inlineStr">
        <is>
          <t>95% CI Lower (Woolf)</t>
        </is>
      </c>
      <c r="D23" s="22">
        <f>IFERROR(EXP(LN((G4*J4/(G4+H4+I4+J4)+G10*J10/(G10+H10+I10+J10)+G16*J16/(G16+H16+I16+J16))/(H4*I4/(G4+H4+I4+J4)+H10*I10/(G10+H10+I10+J10)+H16*I16/(G16+H16+I16+J16)))-1.96*SQRT(1/(2*(G4*J4/(G4+H4+I4+J4)+G10*J10/(G10+H10+I10+J10)+G16*J16/(G16+H16+I16+J16)))+1/(2*(H4*I4/(G4+H4+I4+J4)+H10*I10/(G10+H10+I10+J10)+H16*I16/(G16+H16+I16+J16))))),"")</f>
        <v/>
      </c>
    </row>
    <row r="24">
      <c r="B24" s="21" t="inlineStr">
        <is>
          <t>95% CI Upper (Woolf)</t>
        </is>
      </c>
      <c r="D24" s="22">
        <f>IFERROR(EXP(LN((G4*J4/(G4+H4+I4+J4)+G10*J10/(G10+H10+I10+J10)+G16*J16/(G16+H16+I16+J16))/(H4*I4/(G4+H4+I4+J4)+H10*I10/(G10+H10+I10+J10)+H16*I16/(G16+H16+I16+J16)))+1.96*SQRT(1/(2*(G4*J4/(G4+H4+I4+J4)+G10*J10/(G10+H10+I10+J10)+G16*J16/(G16+H16+I16+J16)))+1/(2*(H4*I4/(G4+H4+I4+J4)+H10*I10/(G10+H10+I10+J10)+H16*I16/(G16+H16+I16+J16))))),"")</f>
        <v/>
      </c>
    </row>
    <row r="25">
      <c r="B25" s="21" t="inlineStr">
        <is>
          <t>90% CI Lower (Woolf)</t>
        </is>
      </c>
      <c r="D25" s="22">
        <f>IFERROR(EXP(LN((G4*J4/(G4+H4+I4+J4)+G10*J10/(G10+H10+I10+J10)+G16*J16/(G16+H16+I16+J16))/(H4*I4/(G4+H4+I4+J4)+H10*I10/(G10+H10+I10+J10)+H16*I16/(G16+H16+I16+J16)))-1.645*SQRT(1/(2*(G4*J4/(G4+H4+I4+J4)+G10*J10/(G10+H10+I10+J10)+G16*J16/(G16+H16+I16+J16)))+1/(2*(H4*I4/(G4+H4+I4+J4)+H10*I10/(G10+H10+I10+J10)+H16*I16/(G16+H16+I16+J16))))),"")</f>
        <v/>
      </c>
    </row>
    <row r="26">
      <c r="B26" s="21" t="inlineStr">
        <is>
          <t>90% CI Upper (Woolf)</t>
        </is>
      </c>
      <c r="D26" s="22">
        <f>IFERROR(EXP(LN((G4*J4/(G4+H4+I4+J4)+G10*J10/(G10+H10+I10+J10)+G16*J16/(G16+H16+I16+J16))/(H4*I4/(G4+H4+I4+J4)+H10*I10/(G10+H10+I10+J10)+H16*I16/(G16+H16+I16+J16)))+1.645*SQRT(1/(2*(G4*J4/(G4+H4+I4+J4)+G10*J10/(G10+H10+I10+J10)+G16*J16/(G16+H16+I16+J16)))+1/(2*(H4*I4/(G4+H4+I4+J4)+H10*I10/(G10+H10+I10+J10)+H16*I16/(G16+H16+I16+J16))))),"")</f>
        <v/>
      </c>
    </row>
    <row r="27">
      <c r="B27" s="21" t="inlineStr">
        <is>
          <t>P homogeneity (χ²)</t>
        </is>
      </c>
      <c r="D27" s="22">
        <f>IFERROR(CHISQ.DIST.RT((G4*J4/(G4+H4+I4+J4)-H4*I4/(G4+H4+I4+J4))^2*(G4+H4+I4+J4)/((G4+H4)*(I4+J4)*(G4+I4)*(H4+J4)/(G4+H4+I4+J4)^2)+(G10*J10/(G10+H10+I10+J10)-H10*I10/(G10+H10+I10+J10))^2*(G10+H10+I10+J10)/((G10+H10)*(I10+J10)*(G10+I10)*(H10+J10)/(G10+H10+I10+J10)^2),2),"")</f>
        <v/>
      </c>
    </row>
  </sheetData>
  <mergeCells count="6">
    <mergeCell ref="B20:F20"/>
    <mergeCell ref="G8:J8"/>
    <mergeCell ref="G2:J2"/>
    <mergeCell ref="B2:E6"/>
    <mergeCell ref="B1:L1"/>
    <mergeCell ref="G14: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B1" s="14" t="inlineStr">
        <is>
          <t>Exact Confidence Limits for the Odds Ratio</t>
        </is>
      </c>
    </row>
    <row r="2">
      <c r="B2" s="15" t="inlineStr">
        <is>
          <t>Enter 4 values in yellow cells.
OR = point estimate (calculated).
Exact CIs require Shiny (purple cells).
Ref: Cornfield 1956, J Chron Dis.</t>
        </is>
      </c>
      <c r="C2" s="51" t="n"/>
    </row>
    <row r="3">
      <c r="B3" s="52" t="n"/>
      <c r="C3" s="53" t="n"/>
    </row>
    <row r="4">
      <c r="B4" s="52" t="n"/>
      <c r="C4" s="53" t="n"/>
    </row>
    <row r="5">
      <c r="B5" s="52" t="n"/>
      <c r="C5" s="53" t="n"/>
    </row>
    <row r="6">
      <c r="B6" s="54" t="n"/>
      <c r="C6" s="56" t="n"/>
    </row>
    <row r="8">
      <c r="C8" s="16" t="inlineStr">
        <is>
          <t>Exposed</t>
        </is>
      </c>
      <c r="D8" s="16" t="inlineStr">
        <is>
          <t>Nonexposed</t>
        </is>
      </c>
      <c r="E8" s="16" t="inlineStr">
        <is>
          <t>Total</t>
        </is>
      </c>
    </row>
    <row r="9">
      <c r="B9" s="24" t="inlineStr">
        <is>
          <t>Disease</t>
        </is>
      </c>
      <c r="C9" s="19" t="n">
        <v>4</v>
      </c>
      <c r="D9" s="19" t="n">
        <v>386</v>
      </c>
      <c r="E9" s="25">
        <f>C9+D9</f>
        <v/>
      </c>
    </row>
    <row r="10">
      <c r="B10" s="24" t="inlineStr">
        <is>
          <t>Non-Disease</t>
        </is>
      </c>
      <c r="C10" s="19" t="n">
        <v>8</v>
      </c>
      <c r="D10" s="19" t="n">
        <v>1636</v>
      </c>
      <c r="E10" s="25">
        <f>C10+D10</f>
        <v/>
      </c>
    </row>
    <row r="11">
      <c r="B11" s="24" t="inlineStr">
        <is>
          <t>Total</t>
        </is>
      </c>
      <c r="C11" s="25">
        <f>C9+C10</f>
        <v/>
      </c>
      <c r="D11" s="25">
        <f>D9+D10</f>
        <v/>
      </c>
      <c r="E11" s="25">
        <f>C11+D11</f>
        <v/>
      </c>
    </row>
    <row r="13">
      <c r="B13" s="26">
        <f>IF(AND(ISNUMBER(C9),ISNUMBER(D9),ISNUMBER(C10),ISNUMBER(D10)),"Odds Ratio  =  "&amp;ROUND(C9*D10/(D9*C10),4),"")</f>
        <v/>
      </c>
    </row>
    <row r="15">
      <c r="B15" s="20" t="inlineStr">
        <is>
          <t>Exact Confidence Intervals</t>
        </is>
      </c>
      <c r="C15" s="27" t="n"/>
      <c r="D15" s="27" t="n"/>
      <c r="E15" s="27" t="n"/>
      <c r="F15" s="28" t="n"/>
    </row>
    <row r="16">
      <c r="C16" s="16" t="inlineStr">
        <is>
          <t>Mid-P Lower</t>
        </is>
      </c>
      <c r="D16" s="16" t="inlineStr">
        <is>
          <t>Mid-P Upper</t>
        </is>
      </c>
      <c r="E16" s="16" t="inlineStr">
        <is>
          <t>Fisher Lower</t>
        </is>
      </c>
      <c r="F16" s="16" t="inlineStr">
        <is>
          <t>Fisher Upper</t>
        </is>
      </c>
    </row>
    <row r="17">
      <c r="B17" s="24" t="inlineStr">
        <is>
          <t>90%</t>
        </is>
      </c>
      <c r="C17" s="29" t="inlineStr">
        <is>
          <t>→ Shiny</t>
        </is>
      </c>
      <c r="D17" s="29" t="inlineStr">
        <is>
          <t>→ Shiny</t>
        </is>
      </c>
      <c r="E17" s="29" t="inlineStr">
        <is>
          <t>→ Shiny</t>
        </is>
      </c>
      <c r="F17" s="29" t="inlineStr">
        <is>
          <t>→ Shiny</t>
        </is>
      </c>
    </row>
    <row r="18">
      <c r="B18" s="24" t="inlineStr">
        <is>
          <t>95%</t>
        </is>
      </c>
      <c r="C18" s="29" t="inlineStr">
        <is>
          <t>→ Shiny</t>
        </is>
      </c>
      <c r="D18" s="29" t="inlineStr">
        <is>
          <t>→ Shiny</t>
        </is>
      </c>
      <c r="E18" s="29" t="inlineStr">
        <is>
          <t>→ Shiny</t>
        </is>
      </c>
      <c r="F18" s="29" t="inlineStr">
        <is>
          <t>→ Shiny</t>
        </is>
      </c>
    </row>
    <row r="20">
      <c r="B20" s="16" t="inlineStr">
        <is>
          <t>Exact 2-tail P-value</t>
        </is>
      </c>
      <c r="C20" s="27" t="n"/>
      <c r="D20" s="27" t="n"/>
      <c r="E20" s="27" t="n"/>
      <c r="F20" s="28" t="n"/>
    </row>
    <row r="21">
      <c r="C21" s="16" t="inlineStr">
        <is>
          <t>Mid-P</t>
        </is>
      </c>
      <c r="D21" s="16" t="inlineStr">
        <is>
          <t>Fisher</t>
        </is>
      </c>
    </row>
    <row r="22">
      <c r="C22" s="29" t="inlineStr">
        <is>
          <t>→ Shiny</t>
        </is>
      </c>
      <c r="D22" s="29" t="inlineStr">
        <is>
          <t>→ Shiny</t>
        </is>
      </c>
    </row>
    <row r="24">
      <c r="B24" s="30" t="inlineStr">
        <is>
          <t>Purple cells use iterative exact methods — computed in the Shiny app.</t>
        </is>
      </c>
    </row>
    <row r="26">
      <c r="B26" s="16" t="inlineStr">
        <is>
          <t>Approximate CI (Woolf — for reference only)</t>
        </is>
      </c>
      <c r="C26" s="27" t="n"/>
      <c r="D26" s="27" t="n"/>
      <c r="E26" s="27" t="n"/>
      <c r="F26" s="28" t="n"/>
    </row>
    <row r="27">
      <c r="C27" s="16" t="inlineStr">
        <is>
          <t>90% Lower</t>
        </is>
      </c>
      <c r="D27" s="16" t="inlineStr">
        <is>
          <t>90% Upper</t>
        </is>
      </c>
      <c r="E27" s="16" t="inlineStr">
        <is>
          <t>95% Lower</t>
        </is>
      </c>
      <c r="F27" s="16" t="inlineStr">
        <is>
          <t>95% Upper</t>
        </is>
      </c>
    </row>
    <row r="28">
      <c r="C28" s="22">
        <f>IFERROR(EXP(LN(C9*D10/(D9*C10))-1.645*SQRT(1/C9+1/D9+1/C10+1/D10)),"")</f>
        <v/>
      </c>
      <c r="D28" s="22">
        <f>IFERROR(EXP(LN(C9*D10/(D9*C10))+1.645*SQRT(1/C9+1/D9+1/C10+1/D10)),"")</f>
        <v/>
      </c>
      <c r="E28" s="22">
        <f>IFERROR(EXP(LN(C9*D10/(D9*C10))-1.96*SQRT(1/C9+1/D9+1/C10+1/D10)),"")</f>
        <v/>
      </c>
      <c r="F28" s="22">
        <f>IFERROR(EXP(LN(C9*D10/(D9*C10))+1.96*SQRT(1/C9+1/D9+1/C10+1/D10)),"")</f>
        <v/>
      </c>
    </row>
  </sheetData>
  <mergeCells count="7">
    <mergeCell ref="B24:F24"/>
    <mergeCell ref="B20:F20"/>
    <mergeCell ref="B15:F15"/>
    <mergeCell ref="B2:C6"/>
    <mergeCell ref="B1:F1"/>
    <mergeCell ref="B26:F26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2" customWidth="1" min="5" max="5"/>
    <col width="22" customWidth="1" min="6" max="6"/>
    <col width="14" customWidth="1" min="7" max="7"/>
    <col width="14" customWidth="1" min="8" max="8"/>
    <col width="2" customWidth="1" min="9" max="9"/>
    <col width="22" customWidth="1" min="10" max="10"/>
    <col width="14" customWidth="1" min="11" max="11"/>
    <col width="14" customWidth="1" min="12" max="12"/>
  </cols>
  <sheetData>
    <row r="1" ht="28" customHeight="1">
      <c r="B1" s="14" t="inlineStr">
        <is>
          <t>Quickcalc</t>
        </is>
      </c>
    </row>
    <row r="3">
      <c r="B3" s="20" t="inlineStr">
        <is>
          <t>Proportion</t>
        </is>
      </c>
      <c r="C3" s="28" t="n"/>
      <c r="F3" s="20" t="inlineStr">
        <is>
          <t>Rate (Poisson)</t>
        </is>
      </c>
      <c r="G3" s="28" t="n"/>
      <c r="J3" s="20" t="inlineStr">
        <is>
          <t>SMR</t>
        </is>
      </c>
      <c r="K3" s="28" t="n"/>
    </row>
    <row r="4">
      <c r="B4" s="31" t="inlineStr">
        <is>
          <t>Numerator</t>
        </is>
      </c>
      <c r="C4" s="19" t="n">
        <v>10</v>
      </c>
      <c r="F4" s="31" t="inlineStr">
        <is>
          <t>Numerator</t>
        </is>
      </c>
      <c r="G4" s="19" t="n">
        <v>10</v>
      </c>
      <c r="J4" s="31" t="inlineStr">
        <is>
          <t>Observed</t>
        </is>
      </c>
      <c r="K4" s="19" t="n">
        <v>41</v>
      </c>
    </row>
    <row r="5">
      <c r="B5" s="31" t="inlineStr">
        <is>
          <t>Denominator</t>
        </is>
      </c>
      <c r="C5" s="19" t="n">
        <v>100</v>
      </c>
      <c r="F5" s="31" t="inlineStr">
        <is>
          <t>Denominator</t>
        </is>
      </c>
      <c r="G5" s="19" t="n">
        <v>100000</v>
      </c>
      <c r="J5" s="31" t="inlineStr">
        <is>
          <t>Expected</t>
        </is>
      </c>
      <c r="K5" s="19" t="n">
        <v>23.3</v>
      </c>
    </row>
    <row r="6">
      <c r="B6" s="31" t="inlineStr">
        <is>
          <t>Conf. Level (%)</t>
        </is>
      </c>
      <c r="C6" s="19" t="n">
        <v>95</v>
      </c>
      <c r="F6" s="31" t="inlineStr">
        <is>
          <t>Conf. Level (%)</t>
        </is>
      </c>
      <c r="G6" s="19" t="n">
        <v>95</v>
      </c>
      <c r="J6" s="31" t="inlineStr">
        <is>
          <t>Conf. Level (%)</t>
        </is>
      </c>
      <c r="K6" s="19" t="n">
        <v>95</v>
      </c>
    </row>
    <row r="8">
      <c r="B8" s="20" t="inlineStr">
        <is>
          <t>Results</t>
        </is>
      </c>
      <c r="C8" s="28" t="n"/>
      <c r="F8" s="20" t="inlineStr">
        <is>
          <t>Results</t>
        </is>
      </c>
      <c r="G8" s="28" t="n"/>
      <c r="J8" s="20" t="inlineStr">
        <is>
          <t>Results</t>
        </is>
      </c>
      <c r="K8" s="28" t="n"/>
    </row>
    <row r="9">
      <c r="B9" s="32" t="inlineStr">
        <is>
          <t>Point Estimate</t>
        </is>
      </c>
      <c r="C9" s="22">
        <f>IFERROR((C4/C5),"")</f>
        <v/>
      </c>
      <c r="F9" s="32" t="inlineStr">
        <is>
          <t>Rate (per unit PT)</t>
        </is>
      </c>
      <c r="G9" s="22">
        <f>IFERROR((G4/G5),"")</f>
        <v/>
      </c>
      <c r="J9" s="32" t="inlineStr">
        <is>
          <t>SMR</t>
        </is>
      </c>
      <c r="K9" s="22">
        <f>IFERROR((K4/K5),"")</f>
        <v/>
      </c>
    </row>
    <row r="10">
      <c r="B10" s="32" t="inlineStr">
        <is>
          <t>Wilson Lower (approx)</t>
        </is>
      </c>
      <c r="C10" s="22">
        <f>IFERROR(((C4/C5)+NORM.S.INV(1-(1-C6/100)/2)^2/(2*C5)-NORM.S.INV(1-(1-C6/100)/2)*SQRT((C4/C5)*(1-(C4/C5))/C5+NORM.S.INV(1-(1-C6/100)/2)^2/(4*C5^2)))/(1+NORM.S.INV(1-(1-C6/100)/2)^2/C5),"")</f>
        <v/>
      </c>
      <c r="F10" s="32" t="inlineStr">
        <is>
          <t>Byar Lower (approx)</t>
        </is>
      </c>
      <c r="G10" s="22">
        <f>IFERROR(G4*(1-1/(9*G4)-NORM.S.INV(1-(1-G6/100)/2)/3/SQRT(G4))^3/G5,"")</f>
        <v/>
      </c>
      <c r="J10" s="32" t="inlineStr">
        <is>
          <t>Byar Lower (approx)</t>
        </is>
      </c>
      <c r="K10" s="22">
        <f>IFERROR(K4*(1-1/(9*K4)-NORM.S.INV(1-(1-K6/100)/2)/3/SQRT(K4))^3/K5,"")</f>
        <v/>
      </c>
    </row>
    <row r="11">
      <c r="B11" s="32" t="inlineStr">
        <is>
          <t>Wilson Upper (approx)</t>
        </is>
      </c>
      <c r="C11" s="22">
        <f>IFERROR(((C4/C5)+NORM.S.INV(1-(1-C6/100)/2)^2/(2*C5)+NORM.S.INV(1-(1-C6/100)/2)*SQRT((C4/C5)*(1-(C4/C5))/C5+NORM.S.INV(1-(1-C6/100)/2)^2/(4*C5^2)))/(1+NORM.S.INV(1-(1-C6/100)/2)^2/C5),"")</f>
        <v/>
      </c>
      <c r="F11" s="32" t="inlineStr">
        <is>
          <t>Byar Upper (approx)</t>
        </is>
      </c>
      <c r="G11" s="22">
        <f>IFERROR((G4+1)*(1-1/(9*(G4+1))+NORM.S.INV(1-(1-G6/100)/2)/3/SQRT(G4+1))^3/G5,"")</f>
        <v/>
      </c>
      <c r="J11" s="32" t="inlineStr">
        <is>
          <t>Byar Upper (approx)</t>
        </is>
      </c>
      <c r="K11" s="22">
        <f>IFERROR((K4+1)*(1-1/(9*(K4+1))+NORM.S.INV(1-(1-K6/100)/2)/3/SQRT(K4+1))^3/K5,"")</f>
        <v/>
      </c>
    </row>
    <row r="12">
      <c r="B12" s="32" t="inlineStr">
        <is>
          <t>Exact Lower (Clopper-Pearson)</t>
        </is>
      </c>
      <c r="C12" s="22">
        <f>IFERROR(BETA.INV((1-C6/100)/2,C4,C5-C4+1),"")</f>
        <v/>
      </c>
      <c r="F12" s="32" t="inlineStr">
        <is>
          <t>Exact Lower (χ²)</t>
        </is>
      </c>
      <c r="G12" s="22">
        <f>IFERROR(CHISQ.INV((1-G6/100)/2,2*G4)/2/G5,"")</f>
        <v/>
      </c>
      <c r="J12" s="32" t="inlineStr">
        <is>
          <t>Exact Lower (χ²)</t>
        </is>
      </c>
      <c r="K12" s="22">
        <f>IFERROR(CHISQ.INV((1-K6/100)/2,2*K4)/2/K5,"")</f>
        <v/>
      </c>
    </row>
    <row r="13">
      <c r="B13" s="32" t="inlineStr">
        <is>
          <t>Exact Upper (Clopper-Pearson)</t>
        </is>
      </c>
      <c r="C13" s="22">
        <f>IFERROR(BETA.INV(1-(1-C6/100)/2,C4+1,C5-C4),"")</f>
        <v/>
      </c>
      <c r="F13" s="32" t="inlineStr">
        <is>
          <t>Exact Upper (χ²)</t>
        </is>
      </c>
      <c r="G13" s="22">
        <f>IFERROR(CHISQ.INV(1-(1-G6/100)/2,2*(G4+1))/2/G5,"")</f>
        <v/>
      </c>
      <c r="J13" s="32" t="inlineStr">
        <is>
          <t>Exact Upper (χ²)</t>
        </is>
      </c>
      <c r="K13" s="22">
        <f>IFERROR(CHISQ.INV(1-(1-K6/100)/2,2*(K4+1))/2/K5,"")</f>
        <v/>
      </c>
    </row>
    <row r="14">
      <c r="B14" s="32" t="inlineStr">
        <is>
          <t>2-tail P-value</t>
        </is>
      </c>
      <c r="C14" s="22">
        <f>IFERROR(2*MIN(BINOM.DIST(C4,C5,(C4/C5),TRUE),1-BINOM.DIST(C4-1,C5,(C4/C5),TRUE)),"")</f>
        <v/>
      </c>
      <c r="F14" s="32" t="inlineStr">
        <is>
          <t>2-tail P-value</t>
        </is>
      </c>
      <c r="G14" s="22">
        <f>IFERROR(2*MIN(POISSON.DIST(G4-1,(G4/G5)*G5,TRUE),1-POISSON.DIST(G4-1,(G4/G5)*G5,TRUE)+POISSON.DIST(G4,(G4/G5)*G5,FALSE)/2),"")</f>
        <v/>
      </c>
      <c r="J14" s="32" t="inlineStr">
        <is>
          <t>2-tail P-value</t>
        </is>
      </c>
      <c r="K14" s="22">
        <f>IFERROR(2*MIN(POISSON.DIST(K4-1,K5,TRUE),1-POISSON.DIST(K4-1,K5,TRUE)+POISSON.DIST(K4,K5,FALSE)/2),"")</f>
        <v/>
      </c>
    </row>
    <row r="15"/>
    <row r="16"/>
    <row r="17"/>
    <row r="18"/>
    <row r="19"/>
  </sheetData>
  <mergeCells count="7">
    <mergeCell ref="F3:G3"/>
    <mergeCell ref="J3:K3"/>
    <mergeCell ref="B3:C3"/>
    <mergeCell ref="J8:K8"/>
    <mergeCell ref="B8:C8"/>
    <mergeCell ref="B1:L1"/>
    <mergeCell ref="F8:G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B1" s="14" t="inlineStr">
        <is>
          <t>Cohort Power</t>
        </is>
      </c>
    </row>
    <row r="2">
      <c r="B2" s="15" t="inlineStr">
        <is>
          <t>Instructions:
Enter parameters in yellow cells.
Power table computes automatically using Kelsey/Fleiss formula.
Ref: Rothman KJ &amp; Boice JD. NIH Pub No. 79-1649, 1979.
Formula: Powercalc(z, p0, r, N, RR) from Episheet VBA Module4.</t>
        </is>
      </c>
      <c r="C2" s="50" t="n"/>
      <c r="D2" s="50" t="n"/>
      <c r="E2" s="51" t="n"/>
    </row>
    <row r="3">
      <c r="B3" s="52" t="n"/>
      <c r="E3" s="53" t="n"/>
      <c r="F3" s="31" t="inlineStr">
        <is>
          <t>Z-alpha (1-sided)</t>
        </is>
      </c>
      <c r="G3" s="19" t="n">
        <v>1.645</v>
      </c>
    </row>
    <row r="4">
      <c r="B4" s="52" t="n"/>
      <c r="E4" s="53" t="n"/>
      <c r="F4" s="31" t="inlineStr">
        <is>
          <t>Unexp./Exp. Ratio</t>
        </is>
      </c>
      <c r="G4" s="19" t="n">
        <v>2</v>
      </c>
    </row>
    <row r="5">
      <c r="B5" s="52" t="n"/>
      <c r="E5" s="53" t="n"/>
      <c r="F5" s="31" t="inlineStr">
        <is>
          <t>Risk in Unexposed</t>
        </is>
      </c>
      <c r="G5" s="19" t="n">
        <v>0.001</v>
      </c>
    </row>
    <row r="6">
      <c r="B6" s="52" t="n"/>
      <c r="E6" s="53" t="n"/>
      <c r="F6" s="31" t="inlineStr">
        <is>
          <t>Max N Exposed</t>
        </is>
      </c>
      <c r="G6" s="19" t="n">
        <v>10000</v>
      </c>
    </row>
    <row r="7">
      <c r="B7" s="52" t="n"/>
      <c r="E7" s="53" t="n"/>
    </row>
    <row r="8">
      <c r="B8" s="52" t="n"/>
      <c r="E8" s="53" t="n"/>
    </row>
    <row r="9">
      <c r="B9" s="54" t="n"/>
      <c r="C9" s="55" t="n"/>
      <c r="D9" s="55" t="n"/>
      <c r="E9" s="56" t="n"/>
    </row>
    <row r="11">
      <c r="B11" s="20" t="inlineStr">
        <is>
          <t>Power Table  (N Exposed × RR → Power)</t>
        </is>
      </c>
      <c r="C11" s="27" t="n"/>
      <c r="D11" s="27" t="n"/>
      <c r="E11" s="27" t="n"/>
      <c r="F11" s="27" t="n"/>
      <c r="G11" s="27" t="n"/>
      <c r="H11" s="28" t="n"/>
    </row>
    <row r="12">
      <c r="B12" s="18" t="inlineStr">
        <is>
          <t>N Exposed</t>
        </is>
      </c>
      <c r="C12" s="16" t="inlineStr">
        <is>
          <t>RR=1.5</t>
        </is>
      </c>
      <c r="D12" s="16" t="inlineStr">
        <is>
          <t>RR=2</t>
        </is>
      </c>
      <c r="E12" s="16" t="inlineStr">
        <is>
          <t>RR=3</t>
        </is>
      </c>
      <c r="F12" s="16" t="inlineStr">
        <is>
          <t>RR=5</t>
        </is>
      </c>
      <c r="G12" s="16" t="inlineStr">
        <is>
          <t>RR=7</t>
        </is>
      </c>
      <c r="H12" s="16" t="inlineStr">
        <is>
          <t>RR=10</t>
        </is>
      </c>
    </row>
    <row r="13">
      <c r="B13" s="24" t="n">
        <v>1</v>
      </c>
      <c r="C13" s="33">
        <f>IFERROR(MAX(NORM.DIST(((-G3*(((1.5*G5)*(1-G5)+G5*(1-(1.5*G5)))+((G4-1)*G5*(1-G5)))+ABS((1.5*G5)-G5)*SQRT(G4*B13*(((1.5*G5)*(1-G5)+G5*(1-(1.5*G5)))+((G4-1)*G5*(1-G5)))))/SQRT((((1.5*G5)*(1-G5)+G5*(1-(1.5*G5)))+((G4-1)*G5*(1-G5)))*(G4*((1.5*G5)*(1-G5)+G5*(1-(1.5*G5)))-((G4-1)*G5*(1-G5)))-G4*((1.5*G5)-G5)^2)),0,1,TRUE),1-NORM.S.DIST(G3,TRUE)),"")</f>
        <v/>
      </c>
      <c r="D13" s="33">
        <f>IFERROR(MAX(NORM.DIST(((-G3*(((2*G5)*(1-G5)+G5*(1-(2*G5)))+((G4-1)*G5*(1-G5)))+ABS((2*G5)-G5)*SQRT(G4*B13*(((2*G5)*(1-G5)+G5*(1-(2*G5)))+((G4-1)*G5*(1-G5)))))/SQRT((((2*G5)*(1-G5)+G5*(1-(2*G5)))+((G4-1)*G5*(1-G5)))*(G4*((2*G5)*(1-G5)+G5*(1-(2*G5)))-((G4-1)*G5*(1-G5)))-G4*((2*G5)-G5)^2)),0,1,TRUE),1-NORM.S.DIST(G3,TRUE)),"")</f>
        <v/>
      </c>
      <c r="E13" s="33">
        <f>IFERROR(MAX(NORM.DIST(((-G3*(((3*G5)*(1-G5)+G5*(1-(3*G5)))+((G4-1)*G5*(1-G5)))+ABS((3*G5)-G5)*SQRT(G4*B13*(((3*G5)*(1-G5)+G5*(1-(3*G5)))+((G4-1)*G5*(1-G5)))))/SQRT((((3*G5)*(1-G5)+G5*(1-(3*G5)))+((G4-1)*G5*(1-G5)))*(G4*((3*G5)*(1-G5)+G5*(1-(3*G5)))-((G4-1)*G5*(1-G5)))-G4*((3*G5)-G5)^2)),0,1,TRUE),1-NORM.S.DIST(G3,TRUE)),"")</f>
        <v/>
      </c>
      <c r="F13" s="33">
        <f>IFERROR(MAX(NORM.DIST(((-G3*(((5*G5)*(1-G5)+G5*(1-(5*G5)))+((G4-1)*G5*(1-G5)))+ABS((5*G5)-G5)*SQRT(G4*B13*(((5*G5)*(1-G5)+G5*(1-(5*G5)))+((G4-1)*G5*(1-G5)))))/SQRT((((5*G5)*(1-G5)+G5*(1-(5*G5)))+((G4-1)*G5*(1-G5)))*(G4*((5*G5)*(1-G5)+G5*(1-(5*G5)))-((G4-1)*G5*(1-G5)))-G4*((5*G5)-G5)^2)),0,1,TRUE),1-NORM.S.DIST(G3,TRUE)),"")</f>
        <v/>
      </c>
      <c r="G13" s="33">
        <f>IFERROR(MAX(NORM.DIST(((-G3*(((7*G5)*(1-G5)+G5*(1-(7*G5)))+((G4-1)*G5*(1-G5)))+ABS((7*G5)-G5)*SQRT(G4*B13*(((7*G5)*(1-G5)+G5*(1-(7*G5)))+((G4-1)*G5*(1-G5)))))/SQRT((((7*G5)*(1-G5)+G5*(1-(7*G5)))+((G4-1)*G5*(1-G5)))*(G4*((7*G5)*(1-G5)+G5*(1-(7*G5)))-((G4-1)*G5*(1-G5)))-G4*((7*G5)-G5)^2)),0,1,TRUE),1-NORM.S.DIST(G3,TRUE)),"")</f>
        <v/>
      </c>
      <c r="H13" s="33">
        <f>IFERROR(MAX(NORM.DIST(((-G3*(((10*G5)*(1-G5)+G5*(1-(10*G5)))+((G4-1)*G5*(1-G5)))+ABS((10*G5)-G5)*SQRT(G4*B13*(((10*G5)*(1-G5)+G5*(1-(10*G5)))+((G4-1)*G5*(1-G5)))))/SQRT((((10*G5)*(1-G5)+G5*(1-(10*G5)))+((G4-1)*G5*(1-G5)))*(G4*((10*G5)*(1-G5)+G5*(1-(10*G5)))-((G4-1)*G5*(1-G5)))-G4*((10*G5)-G5)^2)),0,1,TRUE),1-NORM.S.DIST(G3,TRUE)),"")</f>
        <v/>
      </c>
    </row>
    <row r="14">
      <c r="B14" s="24">
        <f>ROUND($G$6/11*2,0)</f>
        <v/>
      </c>
      <c r="C14" s="34">
        <f>IFERROR(MAX(NORM.DIST(((-G3*(((1.5*G5)*(1-G5)+G5*(1-(1.5*G5)))+((G4-1)*G5*(1-G5)))+ABS((1.5*G5)-G5)*SQRT(G4*B14*(((1.5*G5)*(1-G5)+G5*(1-(1.5*G5)))+((G4-1)*G5*(1-G5)))))/SQRT((((1.5*G5)*(1-G5)+G5*(1-(1.5*G5)))+((G4-1)*G5*(1-G5)))*(G4*((1.5*G5)*(1-G5)+G5*(1-(1.5*G5)))-((G4-1)*G5*(1-G5)))-G4*((1.5*G5)-G5)^2)),0,1,TRUE),1-NORM.S.DIST(G3,TRUE)),"")</f>
        <v/>
      </c>
      <c r="D14" s="34">
        <f>IFERROR(MAX(NORM.DIST(((-G3*(((2*G5)*(1-G5)+G5*(1-(2*G5)))+((G4-1)*G5*(1-G5)))+ABS((2*G5)-G5)*SQRT(G4*B14*(((2*G5)*(1-G5)+G5*(1-(2*G5)))+((G4-1)*G5*(1-G5)))))/SQRT((((2*G5)*(1-G5)+G5*(1-(2*G5)))+((G4-1)*G5*(1-G5)))*(G4*((2*G5)*(1-G5)+G5*(1-(2*G5)))-((G4-1)*G5*(1-G5)))-G4*((2*G5)-G5)^2)),0,1,TRUE),1-NORM.S.DIST(G3,TRUE)),"")</f>
        <v/>
      </c>
      <c r="E14" s="34">
        <f>IFERROR(MAX(NORM.DIST(((-G3*(((3*G5)*(1-G5)+G5*(1-(3*G5)))+((G4-1)*G5*(1-G5)))+ABS((3*G5)-G5)*SQRT(G4*B14*(((3*G5)*(1-G5)+G5*(1-(3*G5)))+((G4-1)*G5*(1-G5)))))/SQRT((((3*G5)*(1-G5)+G5*(1-(3*G5)))+((G4-1)*G5*(1-G5)))*(G4*((3*G5)*(1-G5)+G5*(1-(3*G5)))-((G4-1)*G5*(1-G5)))-G4*((3*G5)-G5)^2)),0,1,TRUE),1-NORM.S.DIST(G3,TRUE)),"")</f>
        <v/>
      </c>
      <c r="F14" s="34">
        <f>IFERROR(MAX(NORM.DIST(((-G3*(((5*G5)*(1-G5)+G5*(1-(5*G5)))+((G4-1)*G5*(1-G5)))+ABS((5*G5)-G5)*SQRT(G4*B14*(((5*G5)*(1-G5)+G5*(1-(5*G5)))+((G4-1)*G5*(1-G5)))))/SQRT((((5*G5)*(1-G5)+G5*(1-(5*G5)))+((G4-1)*G5*(1-G5)))*(G4*((5*G5)*(1-G5)+G5*(1-(5*G5)))-((G4-1)*G5*(1-G5)))-G4*((5*G5)-G5)^2)),0,1,TRUE),1-NORM.S.DIST(G3,TRUE)),"")</f>
        <v/>
      </c>
      <c r="G14" s="34">
        <f>IFERROR(MAX(NORM.DIST(((-G3*(((7*G5)*(1-G5)+G5*(1-(7*G5)))+((G4-1)*G5*(1-G5)))+ABS((7*G5)-G5)*SQRT(G4*B14*(((7*G5)*(1-G5)+G5*(1-(7*G5)))+((G4-1)*G5*(1-G5)))))/SQRT((((7*G5)*(1-G5)+G5*(1-(7*G5)))+((G4-1)*G5*(1-G5)))*(G4*((7*G5)*(1-G5)+G5*(1-(7*G5)))-((G4-1)*G5*(1-G5)))-G4*((7*G5)-G5)^2)),0,1,TRUE),1-NORM.S.DIST(G3,TRUE)),"")</f>
        <v/>
      </c>
      <c r="H14" s="34">
        <f>IFERROR(MAX(NORM.DIST(((-G3*(((10*G5)*(1-G5)+G5*(1-(10*G5)))+((G4-1)*G5*(1-G5)))+ABS((10*G5)-G5)*SQRT(G4*B14*(((10*G5)*(1-G5)+G5*(1-(10*G5)))+((G4-1)*G5*(1-G5)))))/SQRT((((10*G5)*(1-G5)+G5*(1-(10*G5)))+((G4-1)*G5*(1-G5)))*(G4*((10*G5)*(1-G5)+G5*(1-(10*G5)))-((G4-1)*G5*(1-G5)))-G4*((10*G5)-G5)^2)),0,1,TRUE),1-NORM.S.DIST(G3,TRUE)),"")</f>
        <v/>
      </c>
    </row>
    <row r="15">
      <c r="B15" s="24">
        <f>ROUND($G$6/11*3,0)</f>
        <v/>
      </c>
      <c r="C15" s="33">
        <f>IFERROR(MAX(NORM.DIST(((-G3*(((1.5*G5)*(1-G5)+G5*(1-(1.5*G5)))+((G4-1)*G5*(1-G5)))+ABS((1.5*G5)-G5)*SQRT(G4*B15*(((1.5*G5)*(1-G5)+G5*(1-(1.5*G5)))+((G4-1)*G5*(1-G5)))))/SQRT((((1.5*G5)*(1-G5)+G5*(1-(1.5*G5)))+((G4-1)*G5*(1-G5)))*(G4*((1.5*G5)*(1-G5)+G5*(1-(1.5*G5)))-((G4-1)*G5*(1-G5)))-G4*((1.5*G5)-G5)^2)),0,1,TRUE),1-NORM.S.DIST(G3,TRUE)),"")</f>
        <v/>
      </c>
      <c r="D15" s="33">
        <f>IFERROR(MAX(NORM.DIST(((-G3*(((2*G5)*(1-G5)+G5*(1-(2*G5)))+((G4-1)*G5*(1-G5)))+ABS((2*G5)-G5)*SQRT(G4*B15*(((2*G5)*(1-G5)+G5*(1-(2*G5)))+((G4-1)*G5*(1-G5)))))/SQRT((((2*G5)*(1-G5)+G5*(1-(2*G5)))+((G4-1)*G5*(1-G5)))*(G4*((2*G5)*(1-G5)+G5*(1-(2*G5)))-((G4-1)*G5*(1-G5)))-G4*((2*G5)-G5)^2)),0,1,TRUE),1-NORM.S.DIST(G3,TRUE)),"")</f>
        <v/>
      </c>
      <c r="E15" s="33">
        <f>IFERROR(MAX(NORM.DIST(((-G3*(((3*G5)*(1-G5)+G5*(1-(3*G5)))+((G4-1)*G5*(1-G5)))+ABS((3*G5)-G5)*SQRT(G4*B15*(((3*G5)*(1-G5)+G5*(1-(3*G5)))+((G4-1)*G5*(1-G5)))))/SQRT((((3*G5)*(1-G5)+G5*(1-(3*G5)))+((G4-1)*G5*(1-G5)))*(G4*((3*G5)*(1-G5)+G5*(1-(3*G5)))-((G4-1)*G5*(1-G5)))-G4*((3*G5)-G5)^2)),0,1,TRUE),1-NORM.S.DIST(G3,TRUE)),"")</f>
        <v/>
      </c>
      <c r="F15" s="33">
        <f>IFERROR(MAX(NORM.DIST(((-G3*(((5*G5)*(1-G5)+G5*(1-(5*G5)))+((G4-1)*G5*(1-G5)))+ABS((5*G5)-G5)*SQRT(G4*B15*(((5*G5)*(1-G5)+G5*(1-(5*G5)))+((G4-1)*G5*(1-G5)))))/SQRT((((5*G5)*(1-G5)+G5*(1-(5*G5)))+((G4-1)*G5*(1-G5)))*(G4*((5*G5)*(1-G5)+G5*(1-(5*G5)))-((G4-1)*G5*(1-G5)))-G4*((5*G5)-G5)^2)),0,1,TRUE),1-NORM.S.DIST(G3,TRUE)),"")</f>
        <v/>
      </c>
      <c r="G15" s="33">
        <f>IFERROR(MAX(NORM.DIST(((-G3*(((7*G5)*(1-G5)+G5*(1-(7*G5)))+((G4-1)*G5*(1-G5)))+ABS((7*G5)-G5)*SQRT(G4*B15*(((7*G5)*(1-G5)+G5*(1-(7*G5)))+((G4-1)*G5*(1-G5)))))/SQRT((((7*G5)*(1-G5)+G5*(1-(7*G5)))+((G4-1)*G5*(1-G5)))*(G4*((7*G5)*(1-G5)+G5*(1-(7*G5)))-((G4-1)*G5*(1-G5)))-G4*((7*G5)-G5)^2)),0,1,TRUE),1-NORM.S.DIST(G3,TRUE)),"")</f>
        <v/>
      </c>
      <c r="H15" s="33">
        <f>IFERROR(MAX(NORM.DIST(((-G3*(((10*G5)*(1-G5)+G5*(1-(10*G5)))+((G4-1)*G5*(1-G5)))+ABS((10*G5)-G5)*SQRT(G4*B15*(((10*G5)*(1-G5)+G5*(1-(10*G5)))+((G4-1)*G5*(1-G5)))))/SQRT((((10*G5)*(1-G5)+G5*(1-(10*G5)))+((G4-1)*G5*(1-G5)))*(G4*((10*G5)*(1-G5)+G5*(1-(10*G5)))-((G4-1)*G5*(1-G5)))-G4*((10*G5)-G5)^2)),0,1,TRUE),1-NORM.S.DIST(G3,TRUE)),"")</f>
        <v/>
      </c>
    </row>
    <row r="16">
      <c r="B16" s="24">
        <f>ROUND($G$6/11*4,0)</f>
        <v/>
      </c>
      <c r="C16" s="34">
        <f>IFERROR(MAX(NORM.DIST(((-G3*(((1.5*G5)*(1-G5)+G5*(1-(1.5*G5)))+((G4-1)*G5*(1-G5)))+ABS((1.5*G5)-G5)*SQRT(G4*B16*(((1.5*G5)*(1-G5)+G5*(1-(1.5*G5)))+((G4-1)*G5*(1-G5)))))/SQRT((((1.5*G5)*(1-G5)+G5*(1-(1.5*G5)))+((G4-1)*G5*(1-G5)))*(G4*((1.5*G5)*(1-G5)+G5*(1-(1.5*G5)))-((G4-1)*G5*(1-G5)))-G4*((1.5*G5)-G5)^2)),0,1,TRUE),1-NORM.S.DIST(G3,TRUE)),"")</f>
        <v/>
      </c>
      <c r="D16" s="34">
        <f>IFERROR(MAX(NORM.DIST(((-G3*(((2*G5)*(1-G5)+G5*(1-(2*G5)))+((G4-1)*G5*(1-G5)))+ABS((2*G5)-G5)*SQRT(G4*B16*(((2*G5)*(1-G5)+G5*(1-(2*G5)))+((G4-1)*G5*(1-G5)))))/SQRT((((2*G5)*(1-G5)+G5*(1-(2*G5)))+((G4-1)*G5*(1-G5)))*(G4*((2*G5)*(1-G5)+G5*(1-(2*G5)))-((G4-1)*G5*(1-G5)))-G4*((2*G5)-G5)^2)),0,1,TRUE),1-NORM.S.DIST(G3,TRUE)),"")</f>
        <v/>
      </c>
      <c r="E16" s="34">
        <f>IFERROR(MAX(NORM.DIST(((-G3*(((3*G5)*(1-G5)+G5*(1-(3*G5)))+((G4-1)*G5*(1-G5)))+ABS((3*G5)-G5)*SQRT(G4*B16*(((3*G5)*(1-G5)+G5*(1-(3*G5)))+((G4-1)*G5*(1-G5)))))/SQRT((((3*G5)*(1-G5)+G5*(1-(3*G5)))+((G4-1)*G5*(1-G5)))*(G4*((3*G5)*(1-G5)+G5*(1-(3*G5)))-((G4-1)*G5*(1-G5)))-G4*((3*G5)-G5)^2)),0,1,TRUE),1-NORM.S.DIST(G3,TRUE)),"")</f>
        <v/>
      </c>
      <c r="F16" s="34">
        <f>IFERROR(MAX(NORM.DIST(((-G3*(((5*G5)*(1-G5)+G5*(1-(5*G5)))+((G4-1)*G5*(1-G5)))+ABS((5*G5)-G5)*SQRT(G4*B16*(((5*G5)*(1-G5)+G5*(1-(5*G5)))+((G4-1)*G5*(1-G5)))))/SQRT((((5*G5)*(1-G5)+G5*(1-(5*G5)))+((G4-1)*G5*(1-G5)))*(G4*((5*G5)*(1-G5)+G5*(1-(5*G5)))-((G4-1)*G5*(1-G5)))-G4*((5*G5)-G5)^2)),0,1,TRUE),1-NORM.S.DIST(G3,TRUE)),"")</f>
        <v/>
      </c>
      <c r="G16" s="34">
        <f>IFERROR(MAX(NORM.DIST(((-G3*(((7*G5)*(1-G5)+G5*(1-(7*G5)))+((G4-1)*G5*(1-G5)))+ABS((7*G5)-G5)*SQRT(G4*B16*(((7*G5)*(1-G5)+G5*(1-(7*G5)))+((G4-1)*G5*(1-G5)))))/SQRT((((7*G5)*(1-G5)+G5*(1-(7*G5)))+((G4-1)*G5*(1-G5)))*(G4*((7*G5)*(1-G5)+G5*(1-(7*G5)))-((G4-1)*G5*(1-G5)))-G4*((7*G5)-G5)^2)),0,1,TRUE),1-NORM.S.DIST(G3,TRUE)),"")</f>
        <v/>
      </c>
      <c r="H16" s="34">
        <f>IFERROR(MAX(NORM.DIST(((-G3*(((10*G5)*(1-G5)+G5*(1-(10*G5)))+((G4-1)*G5*(1-G5)))+ABS((10*G5)-G5)*SQRT(G4*B16*(((10*G5)*(1-G5)+G5*(1-(10*G5)))+((G4-1)*G5*(1-G5)))))/SQRT((((10*G5)*(1-G5)+G5*(1-(10*G5)))+((G4-1)*G5*(1-G5)))*(G4*((10*G5)*(1-G5)+G5*(1-(10*G5)))-((G4-1)*G5*(1-G5)))-G4*((10*G5)-G5)^2)),0,1,TRUE),1-NORM.S.DIST(G3,TRUE)),"")</f>
        <v/>
      </c>
    </row>
    <row r="17">
      <c r="B17" s="24">
        <f>ROUND($G$6/11*5,0)</f>
        <v/>
      </c>
      <c r="C17" s="33">
        <f>IFERROR(MAX(NORM.DIST(((-G3*(((1.5*G5)*(1-G5)+G5*(1-(1.5*G5)))+((G4-1)*G5*(1-G5)))+ABS((1.5*G5)-G5)*SQRT(G4*B17*(((1.5*G5)*(1-G5)+G5*(1-(1.5*G5)))+((G4-1)*G5*(1-G5)))))/SQRT((((1.5*G5)*(1-G5)+G5*(1-(1.5*G5)))+((G4-1)*G5*(1-G5)))*(G4*((1.5*G5)*(1-G5)+G5*(1-(1.5*G5)))-((G4-1)*G5*(1-G5)))-G4*((1.5*G5)-G5)^2)),0,1,TRUE),1-NORM.S.DIST(G3,TRUE)),"")</f>
        <v/>
      </c>
      <c r="D17" s="33">
        <f>IFERROR(MAX(NORM.DIST(((-G3*(((2*G5)*(1-G5)+G5*(1-(2*G5)))+((G4-1)*G5*(1-G5)))+ABS((2*G5)-G5)*SQRT(G4*B17*(((2*G5)*(1-G5)+G5*(1-(2*G5)))+((G4-1)*G5*(1-G5)))))/SQRT((((2*G5)*(1-G5)+G5*(1-(2*G5)))+((G4-1)*G5*(1-G5)))*(G4*((2*G5)*(1-G5)+G5*(1-(2*G5)))-((G4-1)*G5*(1-G5)))-G4*((2*G5)-G5)^2)),0,1,TRUE),1-NORM.S.DIST(G3,TRUE)),"")</f>
        <v/>
      </c>
      <c r="E17" s="33">
        <f>IFERROR(MAX(NORM.DIST(((-G3*(((3*G5)*(1-G5)+G5*(1-(3*G5)))+((G4-1)*G5*(1-G5)))+ABS((3*G5)-G5)*SQRT(G4*B17*(((3*G5)*(1-G5)+G5*(1-(3*G5)))+((G4-1)*G5*(1-G5)))))/SQRT((((3*G5)*(1-G5)+G5*(1-(3*G5)))+((G4-1)*G5*(1-G5)))*(G4*((3*G5)*(1-G5)+G5*(1-(3*G5)))-((G4-1)*G5*(1-G5)))-G4*((3*G5)-G5)^2)),0,1,TRUE),1-NORM.S.DIST(G3,TRUE)),"")</f>
        <v/>
      </c>
      <c r="F17" s="33">
        <f>IFERROR(MAX(NORM.DIST(((-G3*(((5*G5)*(1-G5)+G5*(1-(5*G5)))+((G4-1)*G5*(1-G5)))+ABS((5*G5)-G5)*SQRT(G4*B17*(((5*G5)*(1-G5)+G5*(1-(5*G5)))+((G4-1)*G5*(1-G5)))))/SQRT((((5*G5)*(1-G5)+G5*(1-(5*G5)))+((G4-1)*G5*(1-G5)))*(G4*((5*G5)*(1-G5)+G5*(1-(5*G5)))-((G4-1)*G5*(1-G5)))-G4*((5*G5)-G5)^2)),0,1,TRUE),1-NORM.S.DIST(G3,TRUE)),"")</f>
        <v/>
      </c>
      <c r="G17" s="33">
        <f>IFERROR(MAX(NORM.DIST(((-G3*(((7*G5)*(1-G5)+G5*(1-(7*G5)))+((G4-1)*G5*(1-G5)))+ABS((7*G5)-G5)*SQRT(G4*B17*(((7*G5)*(1-G5)+G5*(1-(7*G5)))+((G4-1)*G5*(1-G5)))))/SQRT((((7*G5)*(1-G5)+G5*(1-(7*G5)))+((G4-1)*G5*(1-G5)))*(G4*((7*G5)*(1-G5)+G5*(1-(7*G5)))-((G4-1)*G5*(1-G5)))-G4*((7*G5)-G5)^2)),0,1,TRUE),1-NORM.S.DIST(G3,TRUE)),"")</f>
        <v/>
      </c>
      <c r="H17" s="33">
        <f>IFERROR(MAX(NORM.DIST(((-G3*(((10*G5)*(1-G5)+G5*(1-(10*G5)))+((G4-1)*G5*(1-G5)))+ABS((10*G5)-G5)*SQRT(G4*B17*(((10*G5)*(1-G5)+G5*(1-(10*G5)))+((G4-1)*G5*(1-G5)))))/SQRT((((10*G5)*(1-G5)+G5*(1-(10*G5)))+((G4-1)*G5*(1-G5)))*(G4*((10*G5)*(1-G5)+G5*(1-(10*G5)))-((G4-1)*G5*(1-G5)))-G4*((10*G5)-G5)^2)),0,1,TRUE),1-NORM.S.DIST(G3,TRUE)),"")</f>
        <v/>
      </c>
    </row>
    <row r="18">
      <c r="B18" s="24">
        <f>ROUND($G$6/11*6,0)</f>
        <v/>
      </c>
      <c r="C18" s="34">
        <f>IFERROR(MAX(NORM.DIST(((-G3*(((1.5*G5)*(1-G5)+G5*(1-(1.5*G5)))+((G4-1)*G5*(1-G5)))+ABS((1.5*G5)-G5)*SQRT(G4*B18*(((1.5*G5)*(1-G5)+G5*(1-(1.5*G5)))+((G4-1)*G5*(1-G5)))))/SQRT((((1.5*G5)*(1-G5)+G5*(1-(1.5*G5)))+((G4-1)*G5*(1-G5)))*(G4*((1.5*G5)*(1-G5)+G5*(1-(1.5*G5)))-((G4-1)*G5*(1-G5)))-G4*((1.5*G5)-G5)^2)),0,1,TRUE),1-NORM.S.DIST(G3,TRUE)),"")</f>
        <v/>
      </c>
      <c r="D18" s="34">
        <f>IFERROR(MAX(NORM.DIST(((-G3*(((2*G5)*(1-G5)+G5*(1-(2*G5)))+((G4-1)*G5*(1-G5)))+ABS((2*G5)-G5)*SQRT(G4*B18*(((2*G5)*(1-G5)+G5*(1-(2*G5)))+((G4-1)*G5*(1-G5)))))/SQRT((((2*G5)*(1-G5)+G5*(1-(2*G5)))+((G4-1)*G5*(1-G5)))*(G4*((2*G5)*(1-G5)+G5*(1-(2*G5)))-((G4-1)*G5*(1-G5)))-G4*((2*G5)-G5)^2)),0,1,TRUE),1-NORM.S.DIST(G3,TRUE)),"")</f>
        <v/>
      </c>
      <c r="E18" s="34">
        <f>IFERROR(MAX(NORM.DIST(((-G3*(((3*G5)*(1-G5)+G5*(1-(3*G5)))+((G4-1)*G5*(1-G5)))+ABS((3*G5)-G5)*SQRT(G4*B18*(((3*G5)*(1-G5)+G5*(1-(3*G5)))+((G4-1)*G5*(1-G5)))))/SQRT((((3*G5)*(1-G5)+G5*(1-(3*G5)))+((G4-1)*G5*(1-G5)))*(G4*((3*G5)*(1-G5)+G5*(1-(3*G5)))-((G4-1)*G5*(1-G5)))-G4*((3*G5)-G5)^2)),0,1,TRUE),1-NORM.S.DIST(G3,TRUE)),"")</f>
        <v/>
      </c>
      <c r="F18" s="34">
        <f>IFERROR(MAX(NORM.DIST(((-G3*(((5*G5)*(1-G5)+G5*(1-(5*G5)))+((G4-1)*G5*(1-G5)))+ABS((5*G5)-G5)*SQRT(G4*B18*(((5*G5)*(1-G5)+G5*(1-(5*G5)))+((G4-1)*G5*(1-G5)))))/SQRT((((5*G5)*(1-G5)+G5*(1-(5*G5)))+((G4-1)*G5*(1-G5)))*(G4*((5*G5)*(1-G5)+G5*(1-(5*G5)))-((G4-1)*G5*(1-G5)))-G4*((5*G5)-G5)^2)),0,1,TRUE),1-NORM.S.DIST(G3,TRUE)),"")</f>
        <v/>
      </c>
      <c r="G18" s="34">
        <f>IFERROR(MAX(NORM.DIST(((-G3*(((7*G5)*(1-G5)+G5*(1-(7*G5)))+((G4-1)*G5*(1-G5)))+ABS((7*G5)-G5)*SQRT(G4*B18*(((7*G5)*(1-G5)+G5*(1-(7*G5)))+((G4-1)*G5*(1-G5)))))/SQRT((((7*G5)*(1-G5)+G5*(1-(7*G5)))+((G4-1)*G5*(1-G5)))*(G4*((7*G5)*(1-G5)+G5*(1-(7*G5)))-((G4-1)*G5*(1-G5)))-G4*((7*G5)-G5)^2)),0,1,TRUE),1-NORM.S.DIST(G3,TRUE)),"")</f>
        <v/>
      </c>
      <c r="H18" s="34">
        <f>IFERROR(MAX(NORM.DIST(((-G3*(((10*G5)*(1-G5)+G5*(1-(10*G5)))+((G4-1)*G5*(1-G5)))+ABS((10*G5)-G5)*SQRT(G4*B18*(((10*G5)*(1-G5)+G5*(1-(10*G5)))+((G4-1)*G5*(1-G5)))))/SQRT((((10*G5)*(1-G5)+G5*(1-(10*G5)))+((G4-1)*G5*(1-G5)))*(G4*((10*G5)*(1-G5)+G5*(1-(10*G5)))-((G4-1)*G5*(1-G5)))-G4*((10*G5)-G5)^2)),0,1,TRUE),1-NORM.S.DIST(G3,TRUE)),"")</f>
        <v/>
      </c>
    </row>
    <row r="19">
      <c r="B19" s="24">
        <f>ROUND($G$6/11*7,0)</f>
        <v/>
      </c>
      <c r="C19" s="33">
        <f>IFERROR(MAX(NORM.DIST(((-G3*(((1.5*G5)*(1-G5)+G5*(1-(1.5*G5)))+((G4-1)*G5*(1-G5)))+ABS((1.5*G5)-G5)*SQRT(G4*B19*(((1.5*G5)*(1-G5)+G5*(1-(1.5*G5)))+((G4-1)*G5*(1-G5)))))/SQRT((((1.5*G5)*(1-G5)+G5*(1-(1.5*G5)))+((G4-1)*G5*(1-G5)))*(G4*((1.5*G5)*(1-G5)+G5*(1-(1.5*G5)))-((G4-1)*G5*(1-G5)))-G4*((1.5*G5)-G5)^2)),0,1,TRUE),1-NORM.S.DIST(G3,TRUE)),"")</f>
        <v/>
      </c>
      <c r="D19" s="33">
        <f>IFERROR(MAX(NORM.DIST(((-G3*(((2*G5)*(1-G5)+G5*(1-(2*G5)))+((G4-1)*G5*(1-G5)))+ABS((2*G5)-G5)*SQRT(G4*B19*(((2*G5)*(1-G5)+G5*(1-(2*G5)))+((G4-1)*G5*(1-G5)))))/SQRT((((2*G5)*(1-G5)+G5*(1-(2*G5)))+((G4-1)*G5*(1-G5)))*(G4*((2*G5)*(1-G5)+G5*(1-(2*G5)))-((G4-1)*G5*(1-G5)))-G4*((2*G5)-G5)^2)),0,1,TRUE),1-NORM.S.DIST(G3,TRUE)),"")</f>
        <v/>
      </c>
      <c r="E19" s="33">
        <f>IFERROR(MAX(NORM.DIST(((-G3*(((3*G5)*(1-G5)+G5*(1-(3*G5)))+((G4-1)*G5*(1-G5)))+ABS((3*G5)-G5)*SQRT(G4*B19*(((3*G5)*(1-G5)+G5*(1-(3*G5)))+((G4-1)*G5*(1-G5)))))/SQRT((((3*G5)*(1-G5)+G5*(1-(3*G5)))+((G4-1)*G5*(1-G5)))*(G4*((3*G5)*(1-G5)+G5*(1-(3*G5)))-((G4-1)*G5*(1-G5)))-G4*((3*G5)-G5)^2)),0,1,TRUE),1-NORM.S.DIST(G3,TRUE)),"")</f>
        <v/>
      </c>
      <c r="F19" s="33">
        <f>IFERROR(MAX(NORM.DIST(((-G3*(((5*G5)*(1-G5)+G5*(1-(5*G5)))+((G4-1)*G5*(1-G5)))+ABS((5*G5)-G5)*SQRT(G4*B19*(((5*G5)*(1-G5)+G5*(1-(5*G5)))+((G4-1)*G5*(1-G5)))))/SQRT((((5*G5)*(1-G5)+G5*(1-(5*G5)))+((G4-1)*G5*(1-G5)))*(G4*((5*G5)*(1-G5)+G5*(1-(5*G5)))-((G4-1)*G5*(1-G5)))-G4*((5*G5)-G5)^2)),0,1,TRUE),1-NORM.S.DIST(G3,TRUE)),"")</f>
        <v/>
      </c>
      <c r="G19" s="33">
        <f>IFERROR(MAX(NORM.DIST(((-G3*(((7*G5)*(1-G5)+G5*(1-(7*G5)))+((G4-1)*G5*(1-G5)))+ABS((7*G5)-G5)*SQRT(G4*B19*(((7*G5)*(1-G5)+G5*(1-(7*G5)))+((G4-1)*G5*(1-G5)))))/SQRT((((7*G5)*(1-G5)+G5*(1-(7*G5)))+((G4-1)*G5*(1-G5)))*(G4*((7*G5)*(1-G5)+G5*(1-(7*G5)))-((G4-1)*G5*(1-G5)))-G4*((7*G5)-G5)^2)),0,1,TRUE),1-NORM.S.DIST(G3,TRUE)),"")</f>
        <v/>
      </c>
      <c r="H19" s="33">
        <f>IFERROR(MAX(NORM.DIST(((-G3*(((10*G5)*(1-G5)+G5*(1-(10*G5)))+((G4-1)*G5*(1-G5)))+ABS((10*G5)-G5)*SQRT(G4*B19*(((10*G5)*(1-G5)+G5*(1-(10*G5)))+((G4-1)*G5*(1-G5)))))/SQRT((((10*G5)*(1-G5)+G5*(1-(10*G5)))+((G4-1)*G5*(1-G5)))*(G4*((10*G5)*(1-G5)+G5*(1-(10*G5)))-((G4-1)*G5*(1-G5)))-G4*((10*G5)-G5)^2)),0,1,TRUE),1-NORM.S.DIST(G3,TRUE)),"")</f>
        <v/>
      </c>
    </row>
    <row r="20">
      <c r="B20" s="24">
        <f>ROUND($G$6/11*8,0)</f>
        <v/>
      </c>
      <c r="C20" s="34">
        <f>IFERROR(MAX(NORM.DIST(((-G3*(((1.5*G5)*(1-G5)+G5*(1-(1.5*G5)))+((G4-1)*G5*(1-G5)))+ABS((1.5*G5)-G5)*SQRT(G4*B20*(((1.5*G5)*(1-G5)+G5*(1-(1.5*G5)))+((G4-1)*G5*(1-G5)))))/SQRT((((1.5*G5)*(1-G5)+G5*(1-(1.5*G5)))+((G4-1)*G5*(1-G5)))*(G4*((1.5*G5)*(1-G5)+G5*(1-(1.5*G5)))-((G4-1)*G5*(1-G5)))-G4*((1.5*G5)-G5)^2)),0,1,TRUE),1-NORM.S.DIST(G3,TRUE)),"")</f>
        <v/>
      </c>
      <c r="D20" s="34">
        <f>IFERROR(MAX(NORM.DIST(((-G3*(((2*G5)*(1-G5)+G5*(1-(2*G5)))+((G4-1)*G5*(1-G5)))+ABS((2*G5)-G5)*SQRT(G4*B20*(((2*G5)*(1-G5)+G5*(1-(2*G5)))+((G4-1)*G5*(1-G5)))))/SQRT((((2*G5)*(1-G5)+G5*(1-(2*G5)))+((G4-1)*G5*(1-G5)))*(G4*((2*G5)*(1-G5)+G5*(1-(2*G5)))-((G4-1)*G5*(1-G5)))-G4*((2*G5)-G5)^2)),0,1,TRUE),1-NORM.S.DIST(G3,TRUE)),"")</f>
        <v/>
      </c>
      <c r="E20" s="34">
        <f>IFERROR(MAX(NORM.DIST(((-G3*(((3*G5)*(1-G5)+G5*(1-(3*G5)))+((G4-1)*G5*(1-G5)))+ABS((3*G5)-G5)*SQRT(G4*B20*(((3*G5)*(1-G5)+G5*(1-(3*G5)))+((G4-1)*G5*(1-G5)))))/SQRT((((3*G5)*(1-G5)+G5*(1-(3*G5)))+((G4-1)*G5*(1-G5)))*(G4*((3*G5)*(1-G5)+G5*(1-(3*G5)))-((G4-1)*G5*(1-G5)))-G4*((3*G5)-G5)^2)),0,1,TRUE),1-NORM.S.DIST(G3,TRUE)),"")</f>
        <v/>
      </c>
      <c r="F20" s="34">
        <f>IFERROR(MAX(NORM.DIST(((-G3*(((5*G5)*(1-G5)+G5*(1-(5*G5)))+((G4-1)*G5*(1-G5)))+ABS((5*G5)-G5)*SQRT(G4*B20*(((5*G5)*(1-G5)+G5*(1-(5*G5)))+((G4-1)*G5*(1-G5)))))/SQRT((((5*G5)*(1-G5)+G5*(1-(5*G5)))+((G4-1)*G5*(1-G5)))*(G4*((5*G5)*(1-G5)+G5*(1-(5*G5)))-((G4-1)*G5*(1-G5)))-G4*((5*G5)-G5)^2)),0,1,TRUE),1-NORM.S.DIST(G3,TRUE)),"")</f>
        <v/>
      </c>
      <c r="G20" s="34">
        <f>IFERROR(MAX(NORM.DIST(((-G3*(((7*G5)*(1-G5)+G5*(1-(7*G5)))+((G4-1)*G5*(1-G5)))+ABS((7*G5)-G5)*SQRT(G4*B20*(((7*G5)*(1-G5)+G5*(1-(7*G5)))+((G4-1)*G5*(1-G5)))))/SQRT((((7*G5)*(1-G5)+G5*(1-(7*G5)))+((G4-1)*G5*(1-G5)))*(G4*((7*G5)*(1-G5)+G5*(1-(7*G5)))-((G4-1)*G5*(1-G5)))-G4*((7*G5)-G5)^2)),0,1,TRUE),1-NORM.S.DIST(G3,TRUE)),"")</f>
        <v/>
      </c>
      <c r="H20" s="34">
        <f>IFERROR(MAX(NORM.DIST(((-G3*(((10*G5)*(1-G5)+G5*(1-(10*G5)))+((G4-1)*G5*(1-G5)))+ABS((10*G5)-G5)*SQRT(G4*B20*(((10*G5)*(1-G5)+G5*(1-(10*G5)))+((G4-1)*G5*(1-G5)))))/SQRT((((10*G5)*(1-G5)+G5*(1-(10*G5)))+((G4-1)*G5*(1-G5)))*(G4*((10*G5)*(1-G5)+G5*(1-(10*G5)))-((G4-1)*G5*(1-G5)))-G4*((10*G5)-G5)^2)),0,1,TRUE),1-NORM.S.DIST(G3,TRUE)),"")</f>
        <v/>
      </c>
    </row>
    <row r="21">
      <c r="B21" s="24">
        <f>ROUND($G$6/11*9,0)</f>
        <v/>
      </c>
      <c r="C21" s="33">
        <f>IFERROR(MAX(NORM.DIST(((-G3*(((1.5*G5)*(1-G5)+G5*(1-(1.5*G5)))+((G4-1)*G5*(1-G5)))+ABS((1.5*G5)-G5)*SQRT(G4*B21*(((1.5*G5)*(1-G5)+G5*(1-(1.5*G5)))+((G4-1)*G5*(1-G5)))))/SQRT((((1.5*G5)*(1-G5)+G5*(1-(1.5*G5)))+((G4-1)*G5*(1-G5)))*(G4*((1.5*G5)*(1-G5)+G5*(1-(1.5*G5)))-((G4-1)*G5*(1-G5)))-G4*((1.5*G5)-G5)^2)),0,1,TRUE),1-NORM.S.DIST(G3,TRUE)),"")</f>
        <v/>
      </c>
      <c r="D21" s="33">
        <f>IFERROR(MAX(NORM.DIST(((-G3*(((2*G5)*(1-G5)+G5*(1-(2*G5)))+((G4-1)*G5*(1-G5)))+ABS((2*G5)-G5)*SQRT(G4*B21*(((2*G5)*(1-G5)+G5*(1-(2*G5)))+((G4-1)*G5*(1-G5)))))/SQRT((((2*G5)*(1-G5)+G5*(1-(2*G5)))+((G4-1)*G5*(1-G5)))*(G4*((2*G5)*(1-G5)+G5*(1-(2*G5)))-((G4-1)*G5*(1-G5)))-G4*((2*G5)-G5)^2)),0,1,TRUE),1-NORM.S.DIST(G3,TRUE)),"")</f>
        <v/>
      </c>
      <c r="E21" s="33">
        <f>IFERROR(MAX(NORM.DIST(((-G3*(((3*G5)*(1-G5)+G5*(1-(3*G5)))+((G4-1)*G5*(1-G5)))+ABS((3*G5)-G5)*SQRT(G4*B21*(((3*G5)*(1-G5)+G5*(1-(3*G5)))+((G4-1)*G5*(1-G5)))))/SQRT((((3*G5)*(1-G5)+G5*(1-(3*G5)))+((G4-1)*G5*(1-G5)))*(G4*((3*G5)*(1-G5)+G5*(1-(3*G5)))-((G4-1)*G5*(1-G5)))-G4*((3*G5)-G5)^2)),0,1,TRUE),1-NORM.S.DIST(G3,TRUE)),"")</f>
        <v/>
      </c>
      <c r="F21" s="33">
        <f>IFERROR(MAX(NORM.DIST(((-G3*(((5*G5)*(1-G5)+G5*(1-(5*G5)))+((G4-1)*G5*(1-G5)))+ABS((5*G5)-G5)*SQRT(G4*B21*(((5*G5)*(1-G5)+G5*(1-(5*G5)))+((G4-1)*G5*(1-G5)))))/SQRT((((5*G5)*(1-G5)+G5*(1-(5*G5)))+((G4-1)*G5*(1-G5)))*(G4*((5*G5)*(1-G5)+G5*(1-(5*G5)))-((G4-1)*G5*(1-G5)))-G4*((5*G5)-G5)^2)),0,1,TRUE),1-NORM.S.DIST(G3,TRUE)),"")</f>
        <v/>
      </c>
      <c r="G21" s="33">
        <f>IFERROR(MAX(NORM.DIST(((-G3*(((7*G5)*(1-G5)+G5*(1-(7*G5)))+((G4-1)*G5*(1-G5)))+ABS((7*G5)-G5)*SQRT(G4*B21*(((7*G5)*(1-G5)+G5*(1-(7*G5)))+((G4-1)*G5*(1-G5)))))/SQRT((((7*G5)*(1-G5)+G5*(1-(7*G5)))+((G4-1)*G5*(1-G5)))*(G4*((7*G5)*(1-G5)+G5*(1-(7*G5)))-((G4-1)*G5*(1-G5)))-G4*((7*G5)-G5)^2)),0,1,TRUE),1-NORM.S.DIST(G3,TRUE)),"")</f>
        <v/>
      </c>
      <c r="H21" s="33">
        <f>IFERROR(MAX(NORM.DIST(((-G3*(((10*G5)*(1-G5)+G5*(1-(10*G5)))+((G4-1)*G5*(1-G5)))+ABS((10*G5)-G5)*SQRT(G4*B21*(((10*G5)*(1-G5)+G5*(1-(10*G5)))+((G4-1)*G5*(1-G5)))))/SQRT((((10*G5)*(1-G5)+G5*(1-(10*G5)))+((G4-1)*G5*(1-G5)))*(G4*((10*G5)*(1-G5)+G5*(1-(10*G5)))-((G4-1)*G5*(1-G5)))-G4*((10*G5)-G5)^2)),0,1,TRUE),1-NORM.S.DIST(G3,TRUE)),"")</f>
        <v/>
      </c>
    </row>
    <row r="22">
      <c r="B22" s="24">
        <f>ROUND($G$6/11*10,0)</f>
        <v/>
      </c>
      <c r="C22" s="34">
        <f>IFERROR(MAX(NORM.DIST(((-G3*(((1.5*G5)*(1-G5)+G5*(1-(1.5*G5)))+((G4-1)*G5*(1-G5)))+ABS((1.5*G5)-G5)*SQRT(G4*B22*(((1.5*G5)*(1-G5)+G5*(1-(1.5*G5)))+((G4-1)*G5*(1-G5)))))/SQRT((((1.5*G5)*(1-G5)+G5*(1-(1.5*G5)))+((G4-1)*G5*(1-G5)))*(G4*((1.5*G5)*(1-G5)+G5*(1-(1.5*G5)))-((G4-1)*G5*(1-G5)))-G4*((1.5*G5)-G5)^2)),0,1,TRUE),1-NORM.S.DIST(G3,TRUE)),"")</f>
        <v/>
      </c>
      <c r="D22" s="34">
        <f>IFERROR(MAX(NORM.DIST(((-G3*(((2*G5)*(1-G5)+G5*(1-(2*G5)))+((G4-1)*G5*(1-G5)))+ABS((2*G5)-G5)*SQRT(G4*B22*(((2*G5)*(1-G5)+G5*(1-(2*G5)))+((G4-1)*G5*(1-G5)))))/SQRT((((2*G5)*(1-G5)+G5*(1-(2*G5)))+((G4-1)*G5*(1-G5)))*(G4*((2*G5)*(1-G5)+G5*(1-(2*G5)))-((G4-1)*G5*(1-G5)))-G4*((2*G5)-G5)^2)),0,1,TRUE),1-NORM.S.DIST(G3,TRUE)),"")</f>
        <v/>
      </c>
      <c r="E22" s="34">
        <f>IFERROR(MAX(NORM.DIST(((-G3*(((3*G5)*(1-G5)+G5*(1-(3*G5)))+((G4-1)*G5*(1-G5)))+ABS((3*G5)-G5)*SQRT(G4*B22*(((3*G5)*(1-G5)+G5*(1-(3*G5)))+((G4-1)*G5*(1-G5)))))/SQRT((((3*G5)*(1-G5)+G5*(1-(3*G5)))+((G4-1)*G5*(1-G5)))*(G4*((3*G5)*(1-G5)+G5*(1-(3*G5)))-((G4-1)*G5*(1-G5)))-G4*((3*G5)-G5)^2)),0,1,TRUE),1-NORM.S.DIST(G3,TRUE)),"")</f>
        <v/>
      </c>
      <c r="F22" s="34">
        <f>IFERROR(MAX(NORM.DIST(((-G3*(((5*G5)*(1-G5)+G5*(1-(5*G5)))+((G4-1)*G5*(1-G5)))+ABS((5*G5)-G5)*SQRT(G4*B22*(((5*G5)*(1-G5)+G5*(1-(5*G5)))+((G4-1)*G5*(1-G5)))))/SQRT((((5*G5)*(1-G5)+G5*(1-(5*G5)))+((G4-1)*G5*(1-G5)))*(G4*((5*G5)*(1-G5)+G5*(1-(5*G5)))-((G4-1)*G5*(1-G5)))-G4*((5*G5)-G5)^2)),0,1,TRUE),1-NORM.S.DIST(G3,TRUE)),"")</f>
        <v/>
      </c>
      <c r="G22" s="34">
        <f>IFERROR(MAX(NORM.DIST(((-G3*(((7*G5)*(1-G5)+G5*(1-(7*G5)))+((G4-1)*G5*(1-G5)))+ABS((7*G5)-G5)*SQRT(G4*B22*(((7*G5)*(1-G5)+G5*(1-(7*G5)))+((G4-1)*G5*(1-G5)))))/SQRT((((7*G5)*(1-G5)+G5*(1-(7*G5)))+((G4-1)*G5*(1-G5)))*(G4*((7*G5)*(1-G5)+G5*(1-(7*G5)))-((G4-1)*G5*(1-G5)))-G4*((7*G5)-G5)^2)),0,1,TRUE),1-NORM.S.DIST(G3,TRUE)),"")</f>
        <v/>
      </c>
      <c r="H22" s="34">
        <f>IFERROR(MAX(NORM.DIST(((-G3*(((10*G5)*(1-G5)+G5*(1-(10*G5)))+((G4-1)*G5*(1-G5)))+ABS((10*G5)-G5)*SQRT(G4*B22*(((10*G5)*(1-G5)+G5*(1-(10*G5)))+((G4-1)*G5*(1-G5)))))/SQRT((((10*G5)*(1-G5)+G5*(1-(10*G5)))+((G4-1)*G5*(1-G5)))*(G4*((10*G5)*(1-G5)+G5*(1-(10*G5)))-((G4-1)*G5*(1-G5)))-G4*((10*G5)-G5)^2)),0,1,TRUE),1-NORM.S.DIST(G3,TRUE)),"")</f>
        <v/>
      </c>
    </row>
    <row r="23">
      <c r="B23" s="24">
        <f>ROUND($G$6/11*11,0)</f>
        <v/>
      </c>
      <c r="C23" s="33">
        <f>IFERROR(MAX(NORM.DIST(((-G3*(((1.5*G5)*(1-G5)+G5*(1-(1.5*G5)))+((G4-1)*G5*(1-G5)))+ABS((1.5*G5)-G5)*SQRT(G4*B23*(((1.5*G5)*(1-G5)+G5*(1-(1.5*G5)))+((G4-1)*G5*(1-G5)))))/SQRT((((1.5*G5)*(1-G5)+G5*(1-(1.5*G5)))+((G4-1)*G5*(1-G5)))*(G4*((1.5*G5)*(1-G5)+G5*(1-(1.5*G5)))-((G4-1)*G5*(1-G5)))-G4*((1.5*G5)-G5)^2)),0,1,TRUE),1-NORM.S.DIST(G3,TRUE)),"")</f>
        <v/>
      </c>
      <c r="D23" s="33">
        <f>IFERROR(MAX(NORM.DIST(((-G3*(((2*G5)*(1-G5)+G5*(1-(2*G5)))+((G4-1)*G5*(1-G5)))+ABS((2*G5)-G5)*SQRT(G4*B23*(((2*G5)*(1-G5)+G5*(1-(2*G5)))+((G4-1)*G5*(1-G5)))))/SQRT((((2*G5)*(1-G5)+G5*(1-(2*G5)))+((G4-1)*G5*(1-G5)))*(G4*((2*G5)*(1-G5)+G5*(1-(2*G5)))-((G4-1)*G5*(1-G5)))-G4*((2*G5)-G5)^2)),0,1,TRUE),1-NORM.S.DIST(G3,TRUE)),"")</f>
        <v/>
      </c>
      <c r="E23" s="33">
        <f>IFERROR(MAX(NORM.DIST(((-G3*(((3*G5)*(1-G5)+G5*(1-(3*G5)))+((G4-1)*G5*(1-G5)))+ABS((3*G5)-G5)*SQRT(G4*B23*(((3*G5)*(1-G5)+G5*(1-(3*G5)))+((G4-1)*G5*(1-G5)))))/SQRT((((3*G5)*(1-G5)+G5*(1-(3*G5)))+((G4-1)*G5*(1-G5)))*(G4*((3*G5)*(1-G5)+G5*(1-(3*G5)))-((G4-1)*G5*(1-G5)))-G4*((3*G5)-G5)^2)),0,1,TRUE),1-NORM.S.DIST(G3,TRUE)),"")</f>
        <v/>
      </c>
      <c r="F23" s="33">
        <f>IFERROR(MAX(NORM.DIST(((-G3*(((5*G5)*(1-G5)+G5*(1-(5*G5)))+((G4-1)*G5*(1-G5)))+ABS((5*G5)-G5)*SQRT(G4*B23*(((5*G5)*(1-G5)+G5*(1-(5*G5)))+((G4-1)*G5*(1-G5)))))/SQRT((((5*G5)*(1-G5)+G5*(1-(5*G5)))+((G4-1)*G5*(1-G5)))*(G4*((5*G5)*(1-G5)+G5*(1-(5*G5)))-((G4-1)*G5*(1-G5)))-G4*((5*G5)-G5)^2)),0,1,TRUE),1-NORM.S.DIST(G3,TRUE)),"")</f>
        <v/>
      </c>
      <c r="G23" s="33">
        <f>IFERROR(MAX(NORM.DIST(((-G3*(((7*G5)*(1-G5)+G5*(1-(7*G5)))+((G4-1)*G5*(1-G5)))+ABS((7*G5)-G5)*SQRT(G4*B23*(((7*G5)*(1-G5)+G5*(1-(7*G5)))+((G4-1)*G5*(1-G5)))))/SQRT((((7*G5)*(1-G5)+G5*(1-(7*G5)))+((G4-1)*G5*(1-G5)))*(G4*((7*G5)*(1-G5)+G5*(1-(7*G5)))-((G4-1)*G5*(1-G5)))-G4*((7*G5)-G5)^2)),0,1,TRUE),1-NORM.S.DIST(G3,TRUE)),"")</f>
        <v/>
      </c>
      <c r="H23" s="33">
        <f>IFERROR(MAX(NORM.DIST(((-G3*(((10*G5)*(1-G5)+G5*(1-(10*G5)))+((G4-1)*G5*(1-G5)))+ABS((10*G5)-G5)*SQRT(G4*B23*(((10*G5)*(1-G5)+G5*(1-(10*G5)))+((G4-1)*G5*(1-G5)))))/SQRT((((10*G5)*(1-G5)+G5*(1-(10*G5)))+((G4-1)*G5*(1-G5)))*(G4*((10*G5)*(1-G5)+G5*(1-(10*G5)))-((G4-1)*G5*(1-G5)))-G4*((10*G5)-G5)^2)),0,1,TRUE),1-NORM.S.DIST(G3,TRUE)),"")</f>
        <v/>
      </c>
    </row>
    <row r="24">
      <c r="B24" s="24">
        <f>ROUND($G$6/11*12,0)</f>
        <v/>
      </c>
      <c r="C24" s="34">
        <f>IFERROR(MAX(NORM.DIST(((-G3*(((1.5*G5)*(1-G5)+G5*(1-(1.5*G5)))+((G4-1)*G5*(1-G5)))+ABS((1.5*G5)-G5)*SQRT(G4*B24*(((1.5*G5)*(1-G5)+G5*(1-(1.5*G5)))+((G4-1)*G5*(1-G5)))))/SQRT((((1.5*G5)*(1-G5)+G5*(1-(1.5*G5)))+((G4-1)*G5*(1-G5)))*(G4*((1.5*G5)*(1-G5)+G5*(1-(1.5*G5)))-((G4-1)*G5*(1-G5)))-G4*((1.5*G5)-G5)^2)),0,1,TRUE),1-NORM.S.DIST(G3,TRUE)),"")</f>
        <v/>
      </c>
      <c r="D24" s="34">
        <f>IFERROR(MAX(NORM.DIST(((-G3*(((2*G5)*(1-G5)+G5*(1-(2*G5)))+((G4-1)*G5*(1-G5)))+ABS((2*G5)-G5)*SQRT(G4*B24*(((2*G5)*(1-G5)+G5*(1-(2*G5)))+((G4-1)*G5*(1-G5)))))/SQRT((((2*G5)*(1-G5)+G5*(1-(2*G5)))+((G4-1)*G5*(1-G5)))*(G4*((2*G5)*(1-G5)+G5*(1-(2*G5)))-((G4-1)*G5*(1-G5)))-G4*((2*G5)-G5)^2)),0,1,TRUE),1-NORM.S.DIST(G3,TRUE)),"")</f>
        <v/>
      </c>
      <c r="E24" s="34">
        <f>IFERROR(MAX(NORM.DIST(((-G3*(((3*G5)*(1-G5)+G5*(1-(3*G5)))+((G4-1)*G5*(1-G5)))+ABS((3*G5)-G5)*SQRT(G4*B24*(((3*G5)*(1-G5)+G5*(1-(3*G5)))+((G4-1)*G5*(1-G5)))))/SQRT((((3*G5)*(1-G5)+G5*(1-(3*G5)))+((G4-1)*G5*(1-G5)))*(G4*((3*G5)*(1-G5)+G5*(1-(3*G5)))-((G4-1)*G5*(1-G5)))-G4*((3*G5)-G5)^2)),0,1,TRUE),1-NORM.S.DIST(G3,TRUE)),"")</f>
        <v/>
      </c>
      <c r="F24" s="34">
        <f>IFERROR(MAX(NORM.DIST(((-G3*(((5*G5)*(1-G5)+G5*(1-(5*G5)))+((G4-1)*G5*(1-G5)))+ABS((5*G5)-G5)*SQRT(G4*B24*(((5*G5)*(1-G5)+G5*(1-(5*G5)))+((G4-1)*G5*(1-G5)))))/SQRT((((5*G5)*(1-G5)+G5*(1-(5*G5)))+((G4-1)*G5*(1-G5)))*(G4*((5*G5)*(1-G5)+G5*(1-(5*G5)))-((G4-1)*G5*(1-G5)))-G4*((5*G5)-G5)^2)),0,1,TRUE),1-NORM.S.DIST(G3,TRUE)),"")</f>
        <v/>
      </c>
      <c r="G24" s="34">
        <f>IFERROR(MAX(NORM.DIST(((-G3*(((7*G5)*(1-G5)+G5*(1-(7*G5)))+((G4-1)*G5*(1-G5)))+ABS((7*G5)-G5)*SQRT(G4*B24*(((7*G5)*(1-G5)+G5*(1-(7*G5)))+((G4-1)*G5*(1-G5)))))/SQRT((((7*G5)*(1-G5)+G5*(1-(7*G5)))+((G4-1)*G5*(1-G5)))*(G4*((7*G5)*(1-G5)+G5*(1-(7*G5)))-((G4-1)*G5*(1-G5)))-G4*((7*G5)-G5)^2)),0,1,TRUE),1-NORM.S.DIST(G3,TRUE)),"")</f>
        <v/>
      </c>
      <c r="H24" s="34">
        <f>IFERROR(MAX(NORM.DIST(((-G3*(((10*G5)*(1-G5)+G5*(1-(10*G5)))+((G4-1)*G5*(1-G5)))+ABS((10*G5)-G5)*SQRT(G4*B24*(((10*G5)*(1-G5)+G5*(1-(10*G5)))+((G4-1)*G5*(1-G5)))))/SQRT((((10*G5)*(1-G5)+G5*(1-(10*G5)))+((G4-1)*G5*(1-G5)))*(G4*((10*G5)*(1-G5)+G5*(1-(10*G5)))-((G4-1)*G5*(1-G5)))-G4*((10*G5)-G5)^2)),0,1,TRUE),1-NORM.S.DIST(G3,TRUE)),"")</f>
        <v/>
      </c>
    </row>
  </sheetData>
  <mergeCells count="3">
    <mergeCell ref="B1:H1"/>
    <mergeCell ref="B2:E9"/>
    <mergeCell ref="B11:H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B1" s="14" t="inlineStr">
        <is>
          <t>Study Size (CI-Location Method)</t>
        </is>
      </c>
    </row>
    <row r="2">
      <c r="B2" s="15" t="inlineStr">
        <is>
          <t>Gives probability that a study of given size will have its upper CI below a specified value.
Enter parameters in yellow cells. Results compute automatically.
Ref: Modern Epidemiology, 2nd edition.</t>
        </is>
      </c>
      <c r="C2" s="50" t="n"/>
      <c r="D2" s="50" t="n"/>
      <c r="E2" s="51" t="n"/>
    </row>
    <row r="3">
      <c r="B3" s="52" t="n"/>
      <c r="E3" s="53" t="n"/>
    </row>
    <row r="4">
      <c r="B4" s="52" t="n"/>
      <c r="E4" s="53" t="n"/>
    </row>
    <row r="5">
      <c r="B5" s="52" t="n"/>
      <c r="E5" s="53" t="n"/>
    </row>
    <row r="6">
      <c r="B6" s="52" t="n"/>
      <c r="E6" s="53" t="n"/>
    </row>
    <row r="7">
      <c r="B7" s="52" t="n"/>
      <c r="E7" s="53" t="n"/>
    </row>
    <row r="8">
      <c r="B8" s="52" t="n"/>
      <c r="E8" s="53" t="n"/>
    </row>
    <row r="9">
      <c r="B9" s="54" t="n"/>
      <c r="C9" s="55" t="n"/>
      <c r="D9" s="55" t="n"/>
      <c r="E9" s="56" t="n"/>
    </row>
    <row r="11">
      <c r="E11" s="31" t="inlineStr">
        <is>
          <t>Confidence Level (%)</t>
        </is>
      </c>
      <c r="F11" s="19" t="n">
        <v>95</v>
      </c>
    </row>
    <row r="12">
      <c r="E12" s="31" t="inlineStr">
        <is>
          <t>OR/RR Upper Bound &lt;</t>
        </is>
      </c>
      <c r="F12" s="19" t="n">
        <v>2</v>
      </c>
    </row>
    <row r="13">
      <c r="E13" s="31" t="inlineStr">
        <is>
          <t>Expected OR/RR &gt;</t>
        </is>
      </c>
      <c r="F13" s="19" t="n">
        <v>1</v>
      </c>
    </row>
    <row r="14">
      <c r="E14" s="31" t="inlineStr">
        <is>
          <t>Exposure Prevalence</t>
        </is>
      </c>
      <c r="F14" s="19" t="n">
        <v>0.05</v>
      </c>
    </row>
    <row r="15">
      <c r="E15" s="31" t="inlineStr">
        <is>
          <t>Allocation Ratio</t>
        </is>
      </c>
      <c r="F15" s="19" t="n">
        <v>3</v>
      </c>
    </row>
    <row r="16">
      <c r="E16" s="31" t="inlineStr">
        <is>
          <t>Maximum Size</t>
        </is>
      </c>
      <c r="F16" s="19" t="n">
        <v>2000</v>
      </c>
    </row>
    <row r="18">
      <c r="B18" s="20" t="inlineStr">
        <is>
          <t>Total N</t>
        </is>
      </c>
      <c r="C18" s="16" t="inlineStr">
        <is>
          <t>N₁</t>
        </is>
      </c>
      <c r="D18" s="16" t="inlineStr">
        <is>
          <t>N₂</t>
        </is>
      </c>
      <c r="E18" s="16" t="inlineStr">
        <is>
          <t>SE(ln OR)</t>
        </is>
      </c>
      <c r="F18" s="16" t="inlineStr">
        <is>
          <t>Span</t>
        </is>
      </c>
      <c r="G18" s="20" t="inlineStr">
        <is>
          <t>Pr</t>
        </is>
      </c>
    </row>
    <row r="19">
      <c r="B19" s="24">
        <f>ROUND($F$16/9,0)</f>
        <v/>
      </c>
      <c r="C19" s="35">
        <f>ROUND(B19/(1+F15),0)</f>
        <v/>
      </c>
      <c r="D19" s="35">
        <f>B19-C19</f>
        <v/>
      </c>
      <c r="E19" s="36">
        <f>IFERROR(SQRT(1/C19+1/D19+1/(C19*F14)+1/(D19*(1-F14))),"")</f>
        <v/>
      </c>
      <c r="F19" s="36">
        <f>IFERROR(2*NORM.S.INV(1-(1-F11/100)/2)*E19,"")</f>
        <v/>
      </c>
      <c r="G19" s="37">
        <f>IFERROR(NORM.DIST((LN(F12)-LN(F13))/E19-NORM.S.INV(1-(1-F11/100)/2),0,1,TRUE),"")</f>
        <v/>
      </c>
    </row>
    <row r="20">
      <c r="B20" s="24">
        <f>ROUND(F16/9*2,0)</f>
        <v/>
      </c>
      <c r="C20" s="35">
        <f>ROUND(B20/(1+F15),0)</f>
        <v/>
      </c>
      <c r="D20" s="35">
        <f>B20-C20</f>
        <v/>
      </c>
      <c r="E20" s="38">
        <f>IFERROR(SQRT(1/C20+1/D20+1/(C20*F14)+1/(D20*(1-F14))),"")</f>
        <v/>
      </c>
      <c r="F20" s="38">
        <f>IFERROR(2*NORM.S.INV(1-(1-F11/100)/2)*E20,"")</f>
        <v/>
      </c>
      <c r="G20" s="39">
        <f>IFERROR(NORM.DIST((LN(F12)-LN(F13))/E20-NORM.S.INV(1-(1-F11/100)/2),0,1,TRUE),"")</f>
        <v/>
      </c>
    </row>
    <row r="21">
      <c r="B21" s="24">
        <f>ROUND(F16/9*3,0)</f>
        <v/>
      </c>
      <c r="C21" s="35">
        <f>ROUND(B21/(1+F15),0)</f>
        <v/>
      </c>
      <c r="D21" s="35">
        <f>B21-C21</f>
        <v/>
      </c>
      <c r="E21" s="36">
        <f>IFERROR(SQRT(1/C21+1/D21+1/(C21*F14)+1/(D21*(1-F14))),"")</f>
        <v/>
      </c>
      <c r="F21" s="36">
        <f>IFERROR(2*NORM.S.INV(1-(1-F11/100)/2)*E21,"")</f>
        <v/>
      </c>
      <c r="G21" s="37">
        <f>IFERROR(NORM.DIST((LN(F12)-LN(F13))/E21-NORM.S.INV(1-(1-F11/100)/2),0,1,TRUE),"")</f>
        <v/>
      </c>
    </row>
    <row r="22">
      <c r="B22" s="24">
        <f>ROUND(F16/9*4,0)</f>
        <v/>
      </c>
      <c r="C22" s="35">
        <f>ROUND(B22/(1+F15),0)</f>
        <v/>
      </c>
      <c r="D22" s="35">
        <f>B22-C22</f>
        <v/>
      </c>
      <c r="E22" s="38">
        <f>IFERROR(SQRT(1/C22+1/D22+1/(C22*F14)+1/(D22*(1-F14))),"")</f>
        <v/>
      </c>
      <c r="F22" s="38">
        <f>IFERROR(2*NORM.S.INV(1-(1-F11/100)/2)*E22,"")</f>
        <v/>
      </c>
      <c r="G22" s="39">
        <f>IFERROR(NORM.DIST((LN(F12)-LN(F13))/E22-NORM.S.INV(1-(1-F11/100)/2),0,1,TRUE),"")</f>
        <v/>
      </c>
    </row>
    <row r="23">
      <c r="B23" s="24">
        <f>ROUND(F16/9*5,0)</f>
        <v/>
      </c>
      <c r="C23" s="35">
        <f>ROUND(B23/(1+F15),0)</f>
        <v/>
      </c>
      <c r="D23" s="35">
        <f>B23-C23</f>
        <v/>
      </c>
      <c r="E23" s="36">
        <f>IFERROR(SQRT(1/C23+1/D23+1/(C23*F14)+1/(D23*(1-F14))),"")</f>
        <v/>
      </c>
      <c r="F23" s="36">
        <f>IFERROR(2*NORM.S.INV(1-(1-F11/100)/2)*E23,"")</f>
        <v/>
      </c>
      <c r="G23" s="37">
        <f>IFERROR(NORM.DIST((LN(F12)-LN(F13))/E23-NORM.S.INV(1-(1-F11/100)/2),0,1,TRUE),"")</f>
        <v/>
      </c>
    </row>
    <row r="24">
      <c r="B24" s="24">
        <f>ROUND(F16/9*6,0)</f>
        <v/>
      </c>
      <c r="C24" s="35">
        <f>ROUND(B24/(1+F15),0)</f>
        <v/>
      </c>
      <c r="D24" s="35">
        <f>B24-C24</f>
        <v/>
      </c>
      <c r="E24" s="38">
        <f>IFERROR(SQRT(1/C24+1/D24+1/(C24*F14)+1/(D24*(1-F14))),"")</f>
        <v/>
      </c>
      <c r="F24" s="38">
        <f>IFERROR(2*NORM.S.INV(1-(1-F11/100)/2)*E24,"")</f>
        <v/>
      </c>
      <c r="G24" s="39">
        <f>IFERROR(NORM.DIST((LN(F12)-LN(F13))/E24-NORM.S.INV(1-(1-F11/100)/2),0,1,TRUE),"")</f>
        <v/>
      </c>
    </row>
    <row r="25">
      <c r="B25" s="24">
        <f>ROUND(F16/9*7,0)</f>
        <v/>
      </c>
      <c r="C25" s="35">
        <f>ROUND(B25/(1+F15),0)</f>
        <v/>
      </c>
      <c r="D25" s="35">
        <f>B25-C25</f>
        <v/>
      </c>
      <c r="E25" s="36">
        <f>IFERROR(SQRT(1/C25+1/D25+1/(C25*F14)+1/(D25*(1-F14))),"")</f>
        <v/>
      </c>
      <c r="F25" s="36">
        <f>IFERROR(2*NORM.S.INV(1-(1-F11/100)/2)*E25,"")</f>
        <v/>
      </c>
      <c r="G25" s="37">
        <f>IFERROR(NORM.DIST((LN(F12)-LN(F13))/E25-NORM.S.INV(1-(1-F11/100)/2),0,1,TRUE),"")</f>
        <v/>
      </c>
    </row>
    <row r="26">
      <c r="B26" s="24">
        <f>ROUND(F16/9*8,0)</f>
        <v/>
      </c>
      <c r="C26" s="35">
        <f>ROUND(B26/(1+F15),0)</f>
        <v/>
      </c>
      <c r="D26" s="35">
        <f>B26-C26</f>
        <v/>
      </c>
      <c r="E26" s="38">
        <f>IFERROR(SQRT(1/C26+1/D26+1/(C26*F14)+1/(D26*(1-F14))),"")</f>
        <v/>
      </c>
      <c r="F26" s="38">
        <f>IFERROR(2*NORM.S.INV(1-(1-F11/100)/2)*E26,"")</f>
        <v/>
      </c>
      <c r="G26" s="39">
        <f>IFERROR(NORM.DIST((LN(F12)-LN(F13))/E26-NORM.S.INV(1-(1-F11/100)/2),0,1,TRUE),"")</f>
        <v/>
      </c>
    </row>
    <row r="27">
      <c r="B27" s="24">
        <f>ROUND(F16/9*9,0)</f>
        <v/>
      </c>
      <c r="C27" s="35">
        <f>ROUND(B27/(1+F15),0)</f>
        <v/>
      </c>
      <c r="D27" s="35">
        <f>B27-C27</f>
        <v/>
      </c>
      <c r="E27" s="36">
        <f>IFERROR(SQRT(1/C27+1/D27+1/(C27*F14)+1/(D27*(1-F14))),"")</f>
        <v/>
      </c>
      <c r="F27" s="36">
        <f>IFERROR(2*NORM.S.INV(1-(1-F11/100)/2)*E27,"")</f>
        <v/>
      </c>
      <c r="G27" s="37">
        <f>IFERROR(NORM.DIST((LN(F12)-LN(F13))/E27-NORM.S.INV(1-(1-F11/100)/2),0,1,TRUE),"")</f>
        <v/>
      </c>
    </row>
    <row r="28">
      <c r="B28" s="24">
        <f>ROUND(F16/9*10,0)</f>
        <v/>
      </c>
      <c r="C28" s="35">
        <f>ROUND(B28/(1+F15),0)</f>
        <v/>
      </c>
      <c r="D28" s="35">
        <f>B28-C28</f>
        <v/>
      </c>
      <c r="E28" s="38">
        <f>IFERROR(SQRT(1/C28+1/D28+1/(C28*F14)+1/(D28*(1-F14))),"")</f>
        <v/>
      </c>
      <c r="F28" s="38">
        <f>IFERROR(2*NORM.S.INV(1-(1-F11/100)/2)*E28,"")</f>
        <v/>
      </c>
      <c r="G28" s="39">
        <f>IFERROR(NORM.DIST((LN(F12)-LN(F13))/E28-NORM.S.INV(1-(1-F11/100)/2),0,1,TRUE),"")</f>
        <v/>
      </c>
    </row>
  </sheetData>
  <mergeCells count="2">
    <mergeCell ref="B2:E9"/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 ht="28" customHeight="1">
      <c r="B1" s="14" t="inlineStr">
        <is>
          <t>Meta-Analysis</t>
        </is>
      </c>
    </row>
    <row r="2">
      <c r="B2" s="15" t="inlineStr">
        <is>
          <t>Enter RR with LL and UL (95% CI), or ln(RR) with V(ln(RR)) directly.
Choose Fixed or Random effects. Pooled result in last row.
Reference: Fleiss JL. Stat Methods Med Res 1993;2:121-145.</t>
        </is>
      </c>
      <c r="C2" s="50" t="n"/>
      <c r="D2" s="50" t="n"/>
      <c r="E2" s="50" t="n"/>
      <c r="F2" s="50" t="n"/>
      <c r="G2" s="50" t="n"/>
      <c r="H2" s="51" t="n"/>
    </row>
    <row r="3">
      <c r="B3" s="52" t="n"/>
      <c r="H3" s="53" t="n"/>
    </row>
    <row r="4">
      <c r="B4" s="52" t="n"/>
      <c r="H4" s="53" t="n"/>
    </row>
    <row r="5">
      <c r="B5" s="54" t="n"/>
      <c r="C5" s="55" t="n"/>
      <c r="D5" s="55" t="n"/>
      <c r="E5" s="55" t="n"/>
      <c r="F5" s="55" t="n"/>
      <c r="G5" s="55" t="n"/>
      <c r="H5" s="56" t="n"/>
    </row>
    <row r="7">
      <c r="B7" s="24" t="inlineStr">
        <is>
          <t>Title:</t>
        </is>
      </c>
      <c r="C7" s="19" t="inlineStr">
        <is>
          <t>Sample analysis</t>
        </is>
      </c>
      <c r="D7" s="27" t="n"/>
      <c r="E7" s="27" t="n"/>
      <c r="F7" s="27" t="n"/>
      <c r="G7" s="27" t="n"/>
      <c r="H7" s="28" t="n"/>
    </row>
    <row r="9">
      <c r="B9" s="24" t="inlineStr">
        <is>
          <t>Number of studies:</t>
        </is>
      </c>
      <c r="C9" s="19" t="n">
        <v>4</v>
      </c>
      <c r="F9" s="24" t="inlineStr">
        <is>
          <t>Model:</t>
        </is>
      </c>
      <c r="G9" s="19" t="inlineStr">
        <is>
          <t>Fixed effects</t>
        </is>
      </c>
    </row>
    <row r="11">
      <c r="B11" s="20" t="inlineStr">
        <is>
          <t>Study</t>
        </is>
      </c>
      <c r="C11" s="16" t="inlineStr">
        <is>
          <t>RR</t>
        </is>
      </c>
      <c r="D11" s="16" t="inlineStr">
        <is>
          <t>LL 95%</t>
        </is>
      </c>
      <c r="E11" s="16" t="inlineStr">
        <is>
          <t>UL 95%</t>
        </is>
      </c>
      <c r="F11" s="16" t="inlineStr">
        <is>
          <t>ln(RR)</t>
        </is>
      </c>
      <c r="G11" s="16" t="inlineStr">
        <is>
          <t>V(ln(RR))</t>
        </is>
      </c>
      <c r="H11" s="20" t="inlineStr">
        <is>
          <t>Weight %</t>
        </is>
      </c>
    </row>
    <row r="12">
      <c r="B12" s="19" t="inlineStr">
        <is>
          <t>A</t>
        </is>
      </c>
      <c r="C12" s="19" t="n">
        <v>1.2</v>
      </c>
      <c r="D12" s="19" t="n">
        <v>0.5</v>
      </c>
      <c r="E12" s="19" t="n">
        <v>3</v>
      </c>
      <c r="F12" s="22">
        <f>IFERROR(IF(C12&lt;&gt;"",LN(C12),""),"")</f>
        <v/>
      </c>
      <c r="G12" s="22">
        <f>IFERROR(IF(AND(D12&lt;&gt;"",E12&lt;&gt;""),((LN(E12)-LN(D12))/2/1.96)^2,IF(G12&lt;&gt;"",G12,"")),"")</f>
        <v/>
      </c>
      <c r="H12" s="40">
        <f>IFERROR(IF(G12&gt;0,(1/G12)/SUM(1/G12,1/G13,1/G14,1/G15)*100,""),"")</f>
        <v/>
      </c>
    </row>
    <row r="13">
      <c r="B13" s="19" t="inlineStr">
        <is>
          <t>B</t>
        </is>
      </c>
      <c r="C13" s="19" t="n">
        <v>2</v>
      </c>
      <c r="D13" s="19" t="n">
        <v>0.8</v>
      </c>
      <c r="E13" s="19" t="n">
        <v>5</v>
      </c>
      <c r="F13" s="22">
        <f>IFERROR(IF(C13&lt;&gt;"",LN(C13),""),"")</f>
        <v/>
      </c>
      <c r="G13" s="22">
        <f>IFERROR(IF(AND(D13&lt;&gt;"",E13&lt;&gt;""),((LN(E13)-LN(D13))/2/1.96)^2,IF(G13&lt;&gt;"",G13,"")),"")</f>
        <v/>
      </c>
      <c r="H13" s="40">
        <f>IFERROR(IF(G13&gt;0,(1/G13)/SUM(1/G12,1/G13,1/G14,1/G15)*100,""),"")</f>
        <v/>
      </c>
    </row>
    <row r="14">
      <c r="B14" s="19" t="inlineStr">
        <is>
          <t>C</t>
        </is>
      </c>
      <c r="C14" s="19" t="n">
        <v>3</v>
      </c>
      <c r="D14" s="19" t="n">
        <v>1.2</v>
      </c>
      <c r="E14" s="19" t="n">
        <v>7.5</v>
      </c>
      <c r="F14" s="22">
        <f>IFERROR(IF(C14&lt;&gt;"",LN(C14),""),"")</f>
        <v/>
      </c>
      <c r="G14" s="22">
        <f>IFERROR(IF(AND(D14&lt;&gt;"",E14&lt;&gt;""),((LN(E14)-LN(D14))/2/1.96)^2,IF(G14&lt;&gt;"",G14,"")),"")</f>
        <v/>
      </c>
      <c r="H14" s="40">
        <f>IFERROR(IF(G14&gt;0,(1/G14)/SUM(1/G12,1/G13,1/G14,1/G15)*100,""),"")</f>
        <v/>
      </c>
    </row>
    <row r="15">
      <c r="B15" s="19" t="inlineStr">
        <is>
          <t>D</t>
        </is>
      </c>
      <c r="C15" s="19" t="n">
        <v>1.2</v>
      </c>
      <c r="D15" s="19" t="n">
        <v>0.4</v>
      </c>
      <c r="E15" s="19" t="n">
        <v>3.8</v>
      </c>
      <c r="F15" s="22">
        <f>IFERROR(IF(C15&lt;&gt;"",LN(C15),""),"")</f>
        <v/>
      </c>
      <c r="G15" s="22">
        <f>IFERROR(IF(AND(D15&lt;&gt;"",E15&lt;&gt;""),((LN(E15)-LN(D15))/2/1.96)^2,IF(G15&lt;&gt;"",G15,"")),"")</f>
        <v/>
      </c>
      <c r="H15" s="40">
        <f>IFERROR(IF(G15&gt;0,(1/G15)/SUM(1/G12,1/G13,1/G14,1/G15)*100,""),"")</f>
        <v/>
      </c>
    </row>
    <row r="16">
      <c r="B16" s="41" t="inlineStr">
        <is>
          <t>Pooled</t>
        </is>
      </c>
      <c r="C16" s="42">
        <f>IFERROR(EXP(F16),"")</f>
        <v/>
      </c>
      <c r="D16" s="42">
        <f>IFERROR(EXP(F16-1.96*SQRT(G16)),"")</f>
        <v/>
      </c>
      <c r="E16" s="42">
        <f>IFERROR(EXP(F16+1.96*SQRT(G16)),"")</f>
        <v/>
      </c>
      <c r="F16" s="42">
        <f>IFERROR(SUMPRODUCT((1/G12:G15)*F12:F15)/SUM(1/G12:G15),"")</f>
        <v/>
      </c>
      <c r="G16" s="42">
        <f>IFERROR(1/SUM(1/G12:G15),"")</f>
        <v/>
      </c>
    </row>
    <row r="17">
      <c r="B17" s="24" t="inlineStr">
        <is>
          <t>P homogeneity:</t>
        </is>
      </c>
      <c r="C17" s="42">
        <f>IFERROR(CHISQ.DIST.RT(IFERROR(SUMPRODUCT((1/G12:G15)*(F12:F15-SUMPRODUCT((1/G12:G15)*F12:F15)/SUM(1/G12:G15))^2),""),COUNT(G12:G15)-1),"")</f>
        <v/>
      </c>
    </row>
    <row r="18">
      <c r="B18" s="24" t="inlineStr">
        <is>
          <t>Cochran Q:</t>
        </is>
      </c>
      <c r="C18" s="22">
        <f>IFERROR(SUMPRODUCT((1/G12:G15)*(F12:F15-SUMPRODUCT((1/G12:G15)*F12:F15)/SUM(1/G12:G15))^2),"")</f>
        <v/>
      </c>
    </row>
    <row r="19">
      <c r="B19" s="24" t="inlineStr">
        <is>
          <t>τ² (DL random):</t>
        </is>
      </c>
      <c r="C19" s="22">
        <f>IFERROR(MAX(0,((SUMPRODUCT((1/G12:G15)*(F12:F15-SUMPRODUCT((1/G12:G15)*F12:F15)/SUM(1/G12:G15))^2),"-(COUNT(G12:G15)-1))/(SUM(1/G12:G15)-SUMPRODUCT((1/G12:G15)^2)/SUM(1/G12:G15))),"")</f>
        <v/>
      </c>
    </row>
    <row r="20">
      <c r="B20" s="24" t="inlineStr">
        <is>
          <t>I² (%):</t>
        </is>
      </c>
      <c r="C20" s="40">
        <f>IFERROR(MAX(0,(C18-(COUNT(G12:G15)-1))/C18*100),"")</f>
        <v/>
      </c>
    </row>
  </sheetData>
  <mergeCells count="3">
    <mergeCell ref="B1:H1"/>
    <mergeCell ref="B2:H5"/>
    <mergeCell ref="C7:H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4" customWidth="1" min="4" max="4"/>
    <col width="2" customWidth="1" min="5" max="5"/>
    <col width="20" customWidth="1" min="6" max="6"/>
    <col width="14" customWidth="1" min="7" max="7"/>
    <col width="14" customWidth="1" min="8" max="8"/>
  </cols>
  <sheetData>
    <row r="1" ht="28" customHeight="1">
      <c r="B1" s="14" t="inlineStr">
        <is>
          <t>Seasonal Analysis</t>
        </is>
      </c>
    </row>
    <row r="2">
      <c r="B2" s="15" t="inlineStr">
        <is>
          <t>Enter monthly case counts in yellow cells.
Total Population column optional (for rate-based analysis).
Results use Walter-Elwood test for periodicity.
Ref: Edwards 1961 Ann Hum Gen; Brookhart 2002 BMC Med Res Methodol.</t>
        </is>
      </c>
      <c r="C2" s="50" t="n"/>
      <c r="D2" s="51" t="n"/>
    </row>
    <row r="3">
      <c r="B3" s="52" t="n"/>
      <c r="D3" s="53" t="n"/>
    </row>
    <row r="4">
      <c r="B4" s="52" t="n"/>
      <c r="D4" s="53" t="n"/>
    </row>
    <row r="5">
      <c r="B5" s="52" t="n"/>
      <c r="D5" s="53" t="n"/>
    </row>
    <row r="6">
      <c r="B6" s="52" t="n"/>
      <c r="D6" s="53" t="n"/>
    </row>
    <row r="7">
      <c r="B7" s="52" t="n"/>
      <c r="D7" s="53" t="n"/>
    </row>
    <row r="8">
      <c r="B8" s="54" t="n"/>
      <c r="C8" s="55" t="n"/>
      <c r="D8" s="56" t="n"/>
    </row>
    <row r="10">
      <c r="B10" s="20" t="inlineStr">
        <is>
          <t>Month</t>
        </is>
      </c>
      <c r="C10" s="16" t="inlineStr">
        <is>
          <t>Cases</t>
        </is>
      </c>
      <c r="D10" s="16" t="inlineStr">
        <is>
          <t>Population</t>
        </is>
      </c>
    </row>
    <row r="11">
      <c r="B11" s="18" t="inlineStr">
        <is>
          <t>Jan</t>
        </is>
      </c>
      <c r="C11" s="19" t="n"/>
      <c r="D11" s="19" t="n"/>
      <c r="E11" s="43" t="n">
        <v>0.261799</v>
      </c>
    </row>
    <row r="12">
      <c r="B12" s="18" t="inlineStr">
        <is>
          <t>Feb</t>
        </is>
      </c>
      <c r="C12" s="19" t="n"/>
      <c r="D12" s="19" t="n"/>
      <c r="E12" s="43" t="n">
        <v>0.785398</v>
      </c>
    </row>
    <row r="13">
      <c r="B13" s="18" t="inlineStr">
        <is>
          <t>Mar</t>
        </is>
      </c>
      <c r="C13" s="19" t="n"/>
      <c r="D13" s="19" t="n"/>
      <c r="E13" s="43" t="n">
        <v>1.308997</v>
      </c>
    </row>
    <row r="14">
      <c r="B14" s="18" t="inlineStr">
        <is>
          <t>Apr</t>
        </is>
      </c>
      <c r="C14" s="19" t="n"/>
      <c r="D14" s="19" t="n"/>
      <c r="E14" s="43" t="n">
        <v>1.832596</v>
      </c>
    </row>
    <row r="15">
      <c r="B15" s="18" t="inlineStr">
        <is>
          <t>May</t>
        </is>
      </c>
      <c r="C15" s="19" t="n"/>
      <c r="D15" s="19" t="n"/>
      <c r="E15" s="43" t="n">
        <v>2.356194</v>
      </c>
    </row>
    <row r="16">
      <c r="B16" s="18" t="inlineStr">
        <is>
          <t>Jun</t>
        </is>
      </c>
      <c r="C16" s="19" t="n"/>
      <c r="D16" s="19" t="n"/>
      <c r="E16" s="43" t="n">
        <v>2.879793</v>
      </c>
    </row>
    <row r="17">
      <c r="B17" s="18" t="inlineStr">
        <is>
          <t>Jul</t>
        </is>
      </c>
      <c r="C17" s="19" t="n"/>
      <c r="D17" s="19" t="n"/>
      <c r="E17" s="43" t="n">
        <v>3.403392</v>
      </c>
    </row>
    <row r="18">
      <c r="B18" s="18" t="inlineStr">
        <is>
          <t>Aug</t>
        </is>
      </c>
      <c r="C18" s="19" t="n"/>
      <c r="D18" s="19" t="n"/>
      <c r="E18" s="43" t="n">
        <v>3.926991</v>
      </c>
    </row>
    <row r="19">
      <c r="B19" s="18" t="inlineStr">
        <is>
          <t>Sep</t>
        </is>
      </c>
      <c r="C19" s="19" t="n"/>
      <c r="D19" s="19" t="n"/>
      <c r="E19" s="43" t="n">
        <v>4.45059</v>
      </c>
    </row>
    <row r="20">
      <c r="B20" s="18" t="inlineStr">
        <is>
          <t>Oct</t>
        </is>
      </c>
      <c r="C20" s="19" t="n"/>
      <c r="D20" s="19" t="n"/>
      <c r="E20" s="43" t="n">
        <v>4.974188</v>
      </c>
    </row>
    <row r="21">
      <c r="B21" s="18" t="inlineStr">
        <is>
          <t>Nov</t>
        </is>
      </c>
      <c r="C21" s="19" t="n"/>
      <c r="D21" s="19" t="n"/>
      <c r="E21" s="43" t="n">
        <v>5.497787</v>
      </c>
    </row>
    <row r="22">
      <c r="B22" s="18" t="inlineStr">
        <is>
          <t>Dec</t>
        </is>
      </c>
      <c r="C22" s="19" t="n"/>
      <c r="D22" s="19" t="n"/>
      <c r="E22" s="43" t="n">
        <v>6.021386</v>
      </c>
    </row>
    <row r="23">
      <c r="B23" s="44" t="inlineStr">
        <is>
          <t>Total</t>
        </is>
      </c>
      <c r="C23" s="25">
        <f>SUM(C11:C22)</f>
        <v/>
      </c>
      <c r="D23" s="25">
        <f>SUM(D11:D22)</f>
        <v/>
      </c>
    </row>
    <row r="25">
      <c r="F25" s="20" t="inlineStr">
        <is>
          <t>Results</t>
        </is>
      </c>
      <c r="G25" s="27" t="n"/>
      <c r="H25" s="28" t="n"/>
    </row>
    <row r="26">
      <c r="F26" s="32" t="inlineStr">
        <is>
          <t>N total</t>
        </is>
      </c>
      <c r="G26" s="25">
        <f>C23</f>
        <v/>
      </c>
    </row>
    <row r="27">
      <c r="F27" s="32" t="inlineStr">
        <is>
          <t>β (cos component)</t>
        </is>
      </c>
      <c r="G27" s="22">
        <f>SUMPRODUCT(C11:C22,COS(E11:E22))/C23</f>
        <v/>
      </c>
    </row>
    <row r="28">
      <c r="F28" s="32" t="inlineStr">
        <is>
          <t>γ (sin component)</t>
        </is>
      </c>
      <c r="G28" s="22">
        <f>SUMPRODUCT(C11:C22,SIN(E11:E22))/C23</f>
        <v/>
      </c>
    </row>
    <row r="29">
      <c r="F29" s="32" t="inlineStr">
        <is>
          <t>r (resultant)</t>
        </is>
      </c>
      <c r="G29" s="22">
        <f>SQRT(G26^2+G27^2)</f>
        <v/>
      </c>
    </row>
    <row r="30">
      <c r="F30" s="32" t="inlineStr">
        <is>
          <t>Rayleigh z = N·r²</t>
        </is>
      </c>
      <c r="G30" s="45">
        <f>C23*G28^2</f>
        <v/>
      </c>
    </row>
    <row r="31">
      <c r="F31" s="32" t="inlineStr">
        <is>
          <t>P-value (χ², df=2)</t>
        </is>
      </c>
      <c r="G31" s="22">
        <f>CHISQ.DIST.RT(C23*G28^2,2)</f>
        <v/>
      </c>
    </row>
    <row r="32">
      <c r="F32" s="32" t="inlineStr">
        <is>
          <t>Peak month (°)</t>
        </is>
      </c>
      <c r="G32" s="46">
        <f>MOD(DEGREES(ATAN2(G26,G27))+360,360)</f>
        <v/>
      </c>
    </row>
    <row r="33">
      <c r="F33" s="32" t="inlineStr">
        <is>
          <t>Peak/Low Ratio</t>
        </is>
      </c>
      <c r="G33" s="22">
        <f>IFERROR((1+G28)/(1-G28),"")</f>
        <v/>
      </c>
    </row>
    <row r="34">
      <c r="F34" s="32" t="inlineStr">
        <is>
          <t>90% CI Lower (ratio)</t>
        </is>
      </c>
      <c r="G34" s="22">
        <f>IFERROR((1+G28*EXP(-1.645/SQRT(C23/2)))/(1-G28*EXP(-1.645/SQRT(C23/2))),"")</f>
        <v/>
      </c>
    </row>
    <row r="35">
      <c r="F35" s="32" t="inlineStr">
        <is>
          <t>95% CI Lower (ratio)</t>
        </is>
      </c>
      <c r="G35" s="22">
        <f>IFERROR((1+G28*EXP(-1.96/SQRT(C23/2)))/(1-G28*EXP(-1.96/SQRT(C23/2))),"")</f>
        <v/>
      </c>
    </row>
  </sheetData>
  <mergeCells count="3">
    <mergeCell ref="B1:H1"/>
    <mergeCell ref="F25:H25"/>
    <mergeCell ref="B2:D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M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B1" s="14" t="inlineStr">
        <is>
          <t>Life Table (Actuarial Method)</t>
        </is>
      </c>
    </row>
    <row r="2">
      <c r="B2" s="15" t="inlineStr">
        <is>
          <t>Enter n_x (at risk), d_x (events), w_x (withdrawals) in yellow cells.
All other columns calculate automatically.
Ref: Rothman KJ. J Chron Dis 1978;31:557-560.</t>
        </is>
      </c>
      <c r="C2" s="50" t="n"/>
      <c r="D2" s="50" t="n"/>
      <c r="E2" s="51" t="n"/>
    </row>
    <row r="3">
      <c r="B3" s="52" t="n"/>
      <c r="E3" s="53" t="n"/>
    </row>
    <row r="4">
      <c r="B4" s="52" t="n"/>
      <c r="E4" s="53" t="n"/>
    </row>
    <row r="5">
      <c r="B5" s="54" t="n"/>
      <c r="C5" s="55" t="n"/>
      <c r="D5" s="55" t="n"/>
      <c r="E5" s="56" t="n"/>
    </row>
    <row r="7">
      <c r="B7" s="47" t="inlineStr">
        <is>
          <t>Period</t>
        </is>
      </c>
      <c r="C7" s="47" t="inlineStr">
        <is>
          <t>n_x</t>
        </is>
      </c>
      <c r="D7" s="47" t="inlineStr">
        <is>
          <t>d_x</t>
        </is>
      </c>
      <c r="E7" s="47" t="inlineStr">
        <is>
          <t>w_x</t>
        </is>
      </c>
      <c r="F7" s="17" t="inlineStr">
        <is>
          <t>q_x</t>
        </is>
      </c>
      <c r="G7" s="17" t="inlineStr">
        <is>
          <t>p_x</t>
        </is>
      </c>
      <c r="H7" s="17" t="inlineStr">
        <is>
          <t>S(t)</t>
        </is>
      </c>
      <c r="I7" s="17" t="inlineStr">
        <is>
          <t>Greenwood Var</t>
        </is>
      </c>
      <c r="J7" s="17" t="inlineStr">
        <is>
          <t>Lower 90%</t>
        </is>
      </c>
      <c r="K7" s="17" t="inlineStr">
        <is>
          <t>Upper 90%</t>
        </is>
      </c>
      <c r="L7" s="17" t="inlineStr">
        <is>
          <t>Lower 95%</t>
        </is>
      </c>
      <c r="M7" s="17" t="inlineStr">
        <is>
          <t>Upper 95%</t>
        </is>
      </c>
    </row>
    <row r="8">
      <c r="B8" s="18" t="inlineStr">
        <is>
          <t>0</t>
        </is>
      </c>
      <c r="C8" s="19" t="n">
        <v>500</v>
      </c>
    </row>
    <row r="9">
      <c r="B9" s="18" t="inlineStr">
        <is>
          <t>1</t>
        </is>
      </c>
      <c r="C9" s="25">
        <f>C8</f>
        <v/>
      </c>
      <c r="D9" s="19" t="n"/>
      <c r="E9" s="19" t="n"/>
      <c r="F9" s="48">
        <f>IFERROR(D9/(C9-E9/2),"")</f>
        <v/>
      </c>
      <c r="G9" s="48">
        <f>IFERROR(1-F9,"")</f>
        <v/>
      </c>
      <c r="H9" s="48">
        <f>IFERROR(G9,"")</f>
        <v/>
      </c>
      <c r="I9" s="48">
        <f>IFERROR(H9^2*SUMPRODUCT(D9:D9/(C9:C9*(C9:C9-D9:D9+0.0001))),"")</f>
        <v/>
      </c>
      <c r="J9" s="48">
        <f>IFERROR(MAX(0,H9-1.645*SQRT(I9)),"")</f>
        <v/>
      </c>
      <c r="K9" s="48">
        <f>IFERROR(MIN(1,H9+1.645*SQRT(I9)),"")</f>
        <v/>
      </c>
      <c r="L9" s="48">
        <f>IFERROR(MAX(0,H9-1.96*SQRT(I9)),"")</f>
        <v/>
      </c>
      <c r="M9" s="48">
        <f>IFERROR(MIN(1,H9+1.96*SQRT(I9)),"")</f>
        <v/>
      </c>
    </row>
    <row r="10">
      <c r="B10" s="18" t="inlineStr">
        <is>
          <t>2</t>
        </is>
      </c>
      <c r="C10" s="25">
        <f>IFERROR(C9-D9-E9,"")</f>
        <v/>
      </c>
      <c r="D10" s="19" t="n"/>
      <c r="E10" s="19" t="n"/>
      <c r="F10" s="22">
        <f>IFERROR(D10/(C10-E10/2),"")</f>
        <v/>
      </c>
      <c r="G10" s="22">
        <f>IFERROR(1-F10,"")</f>
        <v/>
      </c>
      <c r="H10" s="22">
        <f>IFERROR(H9*G10,"")</f>
        <v/>
      </c>
      <c r="I10" s="22">
        <f>IFERROR(H10^2*SUMPRODUCT(D9:D10/(C9:C10*(C9:C10-D9:D10+0.0001))),"")</f>
        <v/>
      </c>
      <c r="J10" s="22">
        <f>IFERROR(MAX(0,H10-1.645*SQRT(I10)),"")</f>
        <v/>
      </c>
      <c r="K10" s="22">
        <f>IFERROR(MIN(1,H10+1.645*SQRT(I10)),"")</f>
        <v/>
      </c>
      <c r="L10" s="22">
        <f>IFERROR(MAX(0,H10-1.96*SQRT(I10)),"")</f>
        <v/>
      </c>
      <c r="M10" s="22">
        <f>IFERROR(MIN(1,H10+1.96*SQRT(I10)),"")</f>
        <v/>
      </c>
    </row>
    <row r="11">
      <c r="B11" s="18" t="inlineStr">
        <is>
          <t>3</t>
        </is>
      </c>
      <c r="C11" s="25">
        <f>IFERROR(C10-D10-E10,"")</f>
        <v/>
      </c>
      <c r="D11" s="19" t="n"/>
      <c r="E11" s="19" t="n"/>
      <c r="F11" s="48">
        <f>IFERROR(D11/(C11-E11/2),"")</f>
        <v/>
      </c>
      <c r="G11" s="48">
        <f>IFERROR(1-F11,"")</f>
        <v/>
      </c>
      <c r="H11" s="48">
        <f>IFERROR(H10*G11,"")</f>
        <v/>
      </c>
      <c r="I11" s="48">
        <f>IFERROR(H11^2*SUMPRODUCT(D9:D11/(C9:C11*(C9:C11-D9:D11+0.0001))),"")</f>
        <v/>
      </c>
      <c r="J11" s="48">
        <f>IFERROR(MAX(0,H11-1.645*SQRT(I11)),"")</f>
        <v/>
      </c>
      <c r="K11" s="48">
        <f>IFERROR(MIN(1,H11+1.645*SQRT(I11)),"")</f>
        <v/>
      </c>
      <c r="L11" s="48">
        <f>IFERROR(MAX(0,H11-1.96*SQRT(I11)),"")</f>
        <v/>
      </c>
      <c r="M11" s="48">
        <f>IFERROR(MIN(1,H11+1.96*SQRT(I11)),"")</f>
        <v/>
      </c>
    </row>
    <row r="12">
      <c r="B12" s="18" t="inlineStr">
        <is>
          <t>4</t>
        </is>
      </c>
      <c r="C12" s="25">
        <f>IFERROR(C11-D11-E11,"")</f>
        <v/>
      </c>
      <c r="D12" s="19" t="n"/>
      <c r="E12" s="19" t="n"/>
      <c r="F12" s="22">
        <f>IFERROR(D12/(C12-E12/2),"")</f>
        <v/>
      </c>
      <c r="G12" s="22">
        <f>IFERROR(1-F12,"")</f>
        <v/>
      </c>
      <c r="H12" s="22">
        <f>IFERROR(H11*G12,"")</f>
        <v/>
      </c>
      <c r="I12" s="22">
        <f>IFERROR(H12^2*SUMPRODUCT(D9:D12/(C9:C12*(C9:C12-D9:D12+0.0001))),"")</f>
        <v/>
      </c>
      <c r="J12" s="22">
        <f>IFERROR(MAX(0,H12-1.645*SQRT(I12)),"")</f>
        <v/>
      </c>
      <c r="K12" s="22">
        <f>IFERROR(MIN(1,H12+1.645*SQRT(I12)),"")</f>
        <v/>
      </c>
      <c r="L12" s="22">
        <f>IFERROR(MAX(0,H12-1.96*SQRT(I12)),"")</f>
        <v/>
      </c>
      <c r="M12" s="22">
        <f>IFERROR(MIN(1,H12+1.96*SQRT(I12)),"")</f>
        <v/>
      </c>
    </row>
    <row r="13">
      <c r="B13" s="18" t="inlineStr">
        <is>
          <t>5</t>
        </is>
      </c>
      <c r="C13" s="25">
        <f>IFERROR(C12-D12-E12,"")</f>
        <v/>
      </c>
      <c r="D13" s="19" t="n"/>
      <c r="E13" s="19" t="n"/>
      <c r="F13" s="48">
        <f>IFERROR(D13/(C13-E13/2),"")</f>
        <v/>
      </c>
      <c r="G13" s="48">
        <f>IFERROR(1-F13,"")</f>
        <v/>
      </c>
      <c r="H13" s="48">
        <f>IFERROR(H12*G13,"")</f>
        <v/>
      </c>
      <c r="I13" s="48">
        <f>IFERROR(H13^2*SUMPRODUCT(D9:D13/(C9:C13*(C9:C13-D9:D13+0.0001))),"")</f>
        <v/>
      </c>
      <c r="J13" s="48">
        <f>IFERROR(MAX(0,H13-1.645*SQRT(I13)),"")</f>
        <v/>
      </c>
      <c r="K13" s="48">
        <f>IFERROR(MIN(1,H13+1.645*SQRT(I13)),"")</f>
        <v/>
      </c>
      <c r="L13" s="48">
        <f>IFERROR(MAX(0,H13-1.96*SQRT(I13)),"")</f>
        <v/>
      </c>
      <c r="M13" s="48">
        <f>IFERROR(MIN(1,H13+1.96*SQRT(I13)),"")</f>
        <v/>
      </c>
    </row>
    <row r="14">
      <c r="B14" s="18" t="inlineStr">
        <is>
          <t>6</t>
        </is>
      </c>
      <c r="C14" s="25">
        <f>IFERROR(C13-D13-E13,"")</f>
        <v/>
      </c>
      <c r="D14" s="19" t="n"/>
      <c r="E14" s="19" t="n"/>
      <c r="F14" s="22">
        <f>IFERROR(D14/(C14-E14/2),"")</f>
        <v/>
      </c>
      <c r="G14" s="22">
        <f>IFERROR(1-F14,"")</f>
        <v/>
      </c>
      <c r="H14" s="22">
        <f>IFERROR(H13*G14,"")</f>
        <v/>
      </c>
      <c r="I14" s="22">
        <f>IFERROR(H14^2*SUMPRODUCT(D9:D14/(C9:C14*(C9:C14-D9:D14+0.0001))),"")</f>
        <v/>
      </c>
      <c r="J14" s="22">
        <f>IFERROR(MAX(0,H14-1.645*SQRT(I14)),"")</f>
        <v/>
      </c>
      <c r="K14" s="22">
        <f>IFERROR(MIN(1,H14+1.645*SQRT(I14)),"")</f>
        <v/>
      </c>
      <c r="L14" s="22">
        <f>IFERROR(MAX(0,H14-1.96*SQRT(I14)),"")</f>
        <v/>
      </c>
      <c r="M14" s="22">
        <f>IFERROR(MIN(1,H14+1.96*SQRT(I14)),"")</f>
        <v/>
      </c>
    </row>
    <row r="15">
      <c r="B15" s="18" t="inlineStr">
        <is>
          <t>7</t>
        </is>
      </c>
      <c r="C15" s="25">
        <f>IFERROR(C14-D14-E14,"")</f>
        <v/>
      </c>
      <c r="D15" s="19" t="n"/>
      <c r="E15" s="19" t="n"/>
      <c r="F15" s="48">
        <f>IFERROR(D15/(C15-E15/2),"")</f>
        <v/>
      </c>
      <c r="G15" s="48">
        <f>IFERROR(1-F15,"")</f>
        <v/>
      </c>
      <c r="H15" s="48">
        <f>IFERROR(H14*G15,"")</f>
        <v/>
      </c>
      <c r="I15" s="48">
        <f>IFERROR(H15^2*SUMPRODUCT(D9:D15/(C9:C15*(C9:C15-D9:D15+0.0001))),"")</f>
        <v/>
      </c>
      <c r="J15" s="48">
        <f>IFERROR(MAX(0,H15-1.645*SQRT(I15)),"")</f>
        <v/>
      </c>
      <c r="K15" s="48">
        <f>IFERROR(MIN(1,H15+1.645*SQRT(I15)),"")</f>
        <v/>
      </c>
      <c r="L15" s="48">
        <f>IFERROR(MAX(0,H15-1.96*SQRT(I15)),"")</f>
        <v/>
      </c>
      <c r="M15" s="48">
        <f>IFERROR(MIN(1,H15+1.96*SQRT(I15)),"")</f>
        <v/>
      </c>
    </row>
    <row r="16">
      <c r="B16" s="18" t="inlineStr">
        <is>
          <t>8</t>
        </is>
      </c>
      <c r="C16" s="25">
        <f>IFERROR(C15-D15-E15,"")</f>
        <v/>
      </c>
      <c r="D16" s="19" t="n"/>
      <c r="E16" s="19" t="n"/>
      <c r="F16" s="22">
        <f>IFERROR(D16/(C16-E16/2),"")</f>
        <v/>
      </c>
      <c r="G16" s="22">
        <f>IFERROR(1-F16,"")</f>
        <v/>
      </c>
      <c r="H16" s="22">
        <f>IFERROR(H15*G16,"")</f>
        <v/>
      </c>
      <c r="I16" s="22">
        <f>IFERROR(H16^2*SUMPRODUCT(D9:D16/(C9:C16*(C9:C16-D9:D16+0.0001))),"")</f>
        <v/>
      </c>
      <c r="J16" s="22">
        <f>IFERROR(MAX(0,H16-1.645*SQRT(I16)),"")</f>
        <v/>
      </c>
      <c r="K16" s="22">
        <f>IFERROR(MIN(1,H16+1.645*SQRT(I16)),"")</f>
        <v/>
      </c>
      <c r="L16" s="22">
        <f>IFERROR(MAX(0,H16-1.96*SQRT(I16)),"")</f>
        <v/>
      </c>
      <c r="M16" s="22">
        <f>IFERROR(MIN(1,H16+1.96*SQRT(I16)),"")</f>
        <v/>
      </c>
    </row>
    <row r="17">
      <c r="B17" s="18" t="inlineStr">
        <is>
          <t>9</t>
        </is>
      </c>
      <c r="C17" s="25">
        <f>IFERROR(C16-D16-E16,"")</f>
        <v/>
      </c>
      <c r="D17" s="19" t="n"/>
      <c r="E17" s="19" t="n"/>
      <c r="F17" s="48">
        <f>IFERROR(D17/(C17-E17/2),"")</f>
        <v/>
      </c>
      <c r="G17" s="48">
        <f>IFERROR(1-F17,"")</f>
        <v/>
      </c>
      <c r="H17" s="48">
        <f>IFERROR(H16*G17,"")</f>
        <v/>
      </c>
      <c r="I17" s="48">
        <f>IFERROR(H17^2*SUMPRODUCT(D9:D17/(C9:C17*(C9:C17-D9:D17+0.0001))),"")</f>
        <v/>
      </c>
      <c r="J17" s="48">
        <f>IFERROR(MAX(0,H17-1.645*SQRT(I17)),"")</f>
        <v/>
      </c>
      <c r="K17" s="48">
        <f>IFERROR(MIN(1,H17+1.645*SQRT(I17)),"")</f>
        <v/>
      </c>
      <c r="L17" s="48">
        <f>IFERROR(MAX(0,H17-1.96*SQRT(I17)),"")</f>
        <v/>
      </c>
      <c r="M17" s="48">
        <f>IFERROR(MIN(1,H17+1.96*SQRT(I17)),"")</f>
        <v/>
      </c>
    </row>
    <row r="18">
      <c r="B18" s="18" t="inlineStr">
        <is>
          <t>10</t>
        </is>
      </c>
      <c r="C18" s="25">
        <f>IFERROR(C17-D17-E17,"")</f>
        <v/>
      </c>
      <c r="D18" s="19" t="n"/>
      <c r="E18" s="19" t="n"/>
      <c r="F18" s="22">
        <f>IFERROR(D18/(C18-E18/2),"")</f>
        <v/>
      </c>
      <c r="G18" s="22">
        <f>IFERROR(1-F18,"")</f>
        <v/>
      </c>
      <c r="H18" s="22">
        <f>IFERROR(H17*G18,"")</f>
        <v/>
      </c>
      <c r="I18" s="22">
        <f>IFERROR(H18^2*SUMPRODUCT(D9:D18/(C9:C18*(C9:C18-D9:D18+0.0001))),"")</f>
        <v/>
      </c>
      <c r="J18" s="22">
        <f>IFERROR(MAX(0,H18-1.645*SQRT(I18)),"")</f>
        <v/>
      </c>
      <c r="K18" s="22">
        <f>IFERROR(MIN(1,H18+1.645*SQRT(I18)),"")</f>
        <v/>
      </c>
      <c r="L18" s="22">
        <f>IFERROR(MAX(0,H18-1.96*SQRT(I18)),"")</f>
        <v/>
      </c>
      <c r="M18" s="22">
        <f>IFERROR(MIN(1,H18+1.96*SQRT(I18)),"")</f>
        <v/>
      </c>
    </row>
    <row r="19">
      <c r="B19" s="18" t="inlineStr">
        <is>
          <t>11</t>
        </is>
      </c>
      <c r="C19" s="25">
        <f>IFERROR(C18-D18-E18,"")</f>
        <v/>
      </c>
      <c r="D19" s="19" t="n"/>
      <c r="E19" s="19" t="n"/>
      <c r="F19" s="48">
        <f>IFERROR(D19/(C19-E19/2),"")</f>
        <v/>
      </c>
      <c r="G19" s="48">
        <f>IFERROR(1-F19,"")</f>
        <v/>
      </c>
      <c r="H19" s="48">
        <f>IFERROR(H18*G19,"")</f>
        <v/>
      </c>
      <c r="I19" s="48">
        <f>IFERROR(H19^2*SUMPRODUCT(D9:D19/(C9:C19*(C9:C19-D9:D19+0.0001))),"")</f>
        <v/>
      </c>
      <c r="J19" s="48">
        <f>IFERROR(MAX(0,H19-1.645*SQRT(I19)),"")</f>
        <v/>
      </c>
      <c r="K19" s="48">
        <f>IFERROR(MIN(1,H19+1.645*SQRT(I19)),"")</f>
        <v/>
      </c>
      <c r="L19" s="48">
        <f>IFERROR(MAX(0,H19-1.96*SQRT(I19)),"")</f>
        <v/>
      </c>
      <c r="M19" s="48">
        <f>IFERROR(MIN(1,H19+1.96*SQRT(I19)),"")</f>
        <v/>
      </c>
    </row>
    <row r="20">
      <c r="B20" s="18" t="inlineStr">
        <is>
          <t>12</t>
        </is>
      </c>
      <c r="C20" s="25">
        <f>IFERROR(C19-D19-E19,"")</f>
        <v/>
      </c>
      <c r="D20" s="19" t="n"/>
      <c r="E20" s="19" t="n"/>
      <c r="F20" s="22">
        <f>IFERROR(D20/(C20-E20/2),"")</f>
        <v/>
      </c>
      <c r="G20" s="22">
        <f>IFERROR(1-F20,"")</f>
        <v/>
      </c>
      <c r="H20" s="22">
        <f>IFERROR(H19*G20,"")</f>
        <v/>
      </c>
      <c r="I20" s="22">
        <f>IFERROR(H20^2*SUMPRODUCT(D9:D20/(C9:C20*(C9:C20-D9:D20+0.0001))),"")</f>
        <v/>
      </c>
      <c r="J20" s="22">
        <f>IFERROR(MAX(0,H20-1.645*SQRT(I20)),"")</f>
        <v/>
      </c>
      <c r="K20" s="22">
        <f>IFERROR(MIN(1,H20+1.645*SQRT(I20)),"")</f>
        <v/>
      </c>
      <c r="L20" s="22">
        <f>IFERROR(MAX(0,H20-1.96*SQRT(I20)),"")</f>
        <v/>
      </c>
      <c r="M20" s="22">
        <f>IFERROR(MIN(1,H20+1.96*SQRT(I20)),"")</f>
        <v/>
      </c>
    </row>
    <row r="21">
      <c r="B21" s="18" t="inlineStr">
        <is>
          <t>13</t>
        </is>
      </c>
      <c r="C21" s="25">
        <f>IFERROR(C20-D20-E20,"")</f>
        <v/>
      </c>
      <c r="D21" s="19" t="n"/>
      <c r="E21" s="19" t="n"/>
      <c r="F21" s="48">
        <f>IFERROR(D21/(C21-E21/2),"")</f>
        <v/>
      </c>
      <c r="G21" s="48">
        <f>IFERROR(1-F21,"")</f>
        <v/>
      </c>
      <c r="H21" s="48">
        <f>IFERROR(H20*G21,"")</f>
        <v/>
      </c>
      <c r="I21" s="48">
        <f>IFERROR(H21^2*SUMPRODUCT(D9:D21/(C9:C21*(C9:C21-D9:D21+0.0001))),"")</f>
        <v/>
      </c>
      <c r="J21" s="48">
        <f>IFERROR(MAX(0,H21-1.645*SQRT(I21)),"")</f>
        <v/>
      </c>
      <c r="K21" s="48">
        <f>IFERROR(MIN(1,H21+1.645*SQRT(I21)),"")</f>
        <v/>
      </c>
      <c r="L21" s="48">
        <f>IFERROR(MAX(0,H21-1.96*SQRT(I21)),"")</f>
        <v/>
      </c>
      <c r="M21" s="48">
        <f>IFERROR(MIN(1,H21+1.96*SQRT(I21)),"")</f>
        <v/>
      </c>
    </row>
    <row r="22">
      <c r="B22" s="18" t="inlineStr">
        <is>
          <t>14</t>
        </is>
      </c>
      <c r="C22" s="25">
        <f>IFERROR(C21-D21-E21,"")</f>
        <v/>
      </c>
      <c r="D22" s="19" t="n"/>
      <c r="E22" s="19" t="n"/>
      <c r="F22" s="22">
        <f>IFERROR(D22/(C22-E22/2),"")</f>
        <v/>
      </c>
      <c r="G22" s="22">
        <f>IFERROR(1-F22,"")</f>
        <v/>
      </c>
      <c r="H22" s="22">
        <f>IFERROR(H21*G22,"")</f>
        <v/>
      </c>
      <c r="I22" s="22">
        <f>IFERROR(H22^2*SUMPRODUCT(D9:D22/(C9:C22*(C9:C22-D9:D22+0.0001))),"")</f>
        <v/>
      </c>
      <c r="J22" s="22">
        <f>IFERROR(MAX(0,H22-1.645*SQRT(I22)),"")</f>
        <v/>
      </c>
      <c r="K22" s="22">
        <f>IFERROR(MIN(1,H22+1.645*SQRT(I22)),"")</f>
        <v/>
      </c>
      <c r="L22" s="22">
        <f>IFERROR(MAX(0,H22-1.96*SQRT(I22)),"")</f>
        <v/>
      </c>
      <c r="M22" s="22">
        <f>IFERROR(MIN(1,H22+1.96*SQRT(I22)),"")</f>
        <v/>
      </c>
    </row>
    <row r="23">
      <c r="B23" s="18" t="inlineStr">
        <is>
          <t>15</t>
        </is>
      </c>
      <c r="C23" s="25">
        <f>IFERROR(C22-D22-E22,"")</f>
        <v/>
      </c>
      <c r="D23" s="19" t="n"/>
      <c r="E23" s="19" t="n"/>
      <c r="F23" s="48">
        <f>IFERROR(D23/(C23-E23/2),"")</f>
        <v/>
      </c>
      <c r="G23" s="48">
        <f>IFERROR(1-F23,"")</f>
        <v/>
      </c>
      <c r="H23" s="48">
        <f>IFERROR(H22*G23,"")</f>
        <v/>
      </c>
      <c r="I23" s="48">
        <f>IFERROR(H23^2*SUMPRODUCT(D9:D23/(C9:C23*(C9:C23-D9:D23+0.0001))),"")</f>
        <v/>
      </c>
      <c r="J23" s="48">
        <f>IFERROR(MAX(0,H23-1.645*SQRT(I23)),"")</f>
        <v/>
      </c>
      <c r="K23" s="48">
        <f>IFERROR(MIN(1,H23+1.645*SQRT(I23)),"")</f>
        <v/>
      </c>
      <c r="L23" s="48">
        <f>IFERROR(MAX(0,H23-1.96*SQRT(I23)),"")</f>
        <v/>
      </c>
      <c r="M23" s="48">
        <f>IFERROR(MIN(1,H23+1.96*SQRT(I23)),"")</f>
        <v/>
      </c>
    </row>
    <row r="24">
      <c r="B24" s="18" t="inlineStr">
        <is>
          <t>16</t>
        </is>
      </c>
      <c r="C24" s="25">
        <f>IFERROR(C23-D23-E23,"")</f>
        <v/>
      </c>
      <c r="D24" s="19" t="n"/>
      <c r="E24" s="19" t="n"/>
      <c r="F24" s="22">
        <f>IFERROR(D24/(C24-E24/2),"")</f>
        <v/>
      </c>
      <c r="G24" s="22">
        <f>IFERROR(1-F24,"")</f>
        <v/>
      </c>
      <c r="H24" s="22">
        <f>IFERROR(H23*G24,"")</f>
        <v/>
      </c>
      <c r="I24" s="22">
        <f>IFERROR(H24^2*SUMPRODUCT(D9:D24/(C9:C24*(C9:C24-D9:D24+0.0001))),"")</f>
        <v/>
      </c>
      <c r="J24" s="22">
        <f>IFERROR(MAX(0,H24-1.645*SQRT(I24)),"")</f>
        <v/>
      </c>
      <c r="K24" s="22">
        <f>IFERROR(MIN(1,H24+1.645*SQRT(I24)),"")</f>
        <v/>
      </c>
      <c r="L24" s="22">
        <f>IFERROR(MAX(0,H24-1.96*SQRT(I24)),"")</f>
        <v/>
      </c>
      <c r="M24" s="22">
        <f>IFERROR(MIN(1,H24+1.96*SQRT(I24)),"")</f>
        <v/>
      </c>
    </row>
    <row r="25">
      <c r="B25" s="18" t="inlineStr">
        <is>
          <t>17</t>
        </is>
      </c>
      <c r="C25" s="25">
        <f>IFERROR(C24-D24-E24,"")</f>
        <v/>
      </c>
      <c r="D25" s="19" t="n"/>
      <c r="E25" s="19" t="n"/>
      <c r="F25" s="48">
        <f>IFERROR(D25/(C25-E25/2),"")</f>
        <v/>
      </c>
      <c r="G25" s="48">
        <f>IFERROR(1-F25,"")</f>
        <v/>
      </c>
      <c r="H25" s="48">
        <f>IFERROR(H24*G25,"")</f>
        <v/>
      </c>
      <c r="I25" s="48">
        <f>IFERROR(H25^2*SUMPRODUCT(D9:D25/(C9:C25*(C9:C25-D9:D25+0.0001))),"")</f>
        <v/>
      </c>
      <c r="J25" s="48">
        <f>IFERROR(MAX(0,H25-1.645*SQRT(I25)),"")</f>
        <v/>
      </c>
      <c r="K25" s="48">
        <f>IFERROR(MIN(1,H25+1.645*SQRT(I25)),"")</f>
        <v/>
      </c>
      <c r="L25" s="48">
        <f>IFERROR(MAX(0,H25-1.96*SQRT(I25)),"")</f>
        <v/>
      </c>
      <c r="M25" s="48">
        <f>IFERROR(MIN(1,H25+1.96*SQRT(I25)),"")</f>
        <v/>
      </c>
    </row>
    <row r="26">
      <c r="B26" s="18" t="inlineStr">
        <is>
          <t>18</t>
        </is>
      </c>
      <c r="C26" s="25">
        <f>IFERROR(C25-D25-E25,"")</f>
        <v/>
      </c>
      <c r="D26" s="19" t="n"/>
      <c r="E26" s="19" t="n"/>
      <c r="F26" s="22">
        <f>IFERROR(D26/(C26-E26/2),"")</f>
        <v/>
      </c>
      <c r="G26" s="22">
        <f>IFERROR(1-F26,"")</f>
        <v/>
      </c>
      <c r="H26" s="22">
        <f>IFERROR(H25*G26,"")</f>
        <v/>
      </c>
      <c r="I26" s="22">
        <f>IFERROR(H26^2*SUMPRODUCT(D9:D26/(C9:C26*(C9:C26-D9:D26+0.0001))),"")</f>
        <v/>
      </c>
      <c r="J26" s="22">
        <f>IFERROR(MAX(0,H26-1.645*SQRT(I26)),"")</f>
        <v/>
      </c>
      <c r="K26" s="22">
        <f>IFERROR(MIN(1,H26+1.645*SQRT(I26)),"")</f>
        <v/>
      </c>
      <c r="L26" s="22">
        <f>IFERROR(MAX(0,H26-1.96*SQRT(I26)),"")</f>
        <v/>
      </c>
      <c r="M26" s="22">
        <f>IFERROR(MIN(1,H26+1.96*SQRT(I26)),"")</f>
        <v/>
      </c>
    </row>
    <row r="27">
      <c r="B27" s="18" t="inlineStr">
        <is>
          <t>19</t>
        </is>
      </c>
      <c r="C27" s="25">
        <f>IFERROR(C26-D26-E26,"")</f>
        <v/>
      </c>
      <c r="D27" s="19" t="n"/>
      <c r="E27" s="19" t="n"/>
      <c r="F27" s="48">
        <f>IFERROR(D27/(C27-E27/2),"")</f>
        <v/>
      </c>
      <c r="G27" s="48">
        <f>IFERROR(1-F27,"")</f>
        <v/>
      </c>
      <c r="H27" s="48">
        <f>IFERROR(H26*G27,"")</f>
        <v/>
      </c>
      <c r="I27" s="48">
        <f>IFERROR(H27^2*SUMPRODUCT(D9:D27/(C9:C27*(C9:C27-D9:D27+0.0001))),"")</f>
        <v/>
      </c>
      <c r="J27" s="48">
        <f>IFERROR(MAX(0,H27-1.645*SQRT(I27)),"")</f>
        <v/>
      </c>
      <c r="K27" s="48">
        <f>IFERROR(MIN(1,H27+1.645*SQRT(I27)),"")</f>
        <v/>
      </c>
      <c r="L27" s="48">
        <f>IFERROR(MAX(0,H27-1.96*SQRT(I27)),"")</f>
        <v/>
      </c>
      <c r="M27" s="48">
        <f>IFERROR(MIN(1,H27+1.96*SQRT(I27)),"")</f>
        <v/>
      </c>
    </row>
    <row r="28">
      <c r="B28" s="18" t="inlineStr">
        <is>
          <t>20</t>
        </is>
      </c>
      <c r="C28" s="25">
        <f>IFERROR(C27-D27-E27,"")</f>
        <v/>
      </c>
      <c r="D28" s="19" t="n"/>
      <c r="E28" s="19" t="n"/>
      <c r="F28" s="22">
        <f>IFERROR(D28/(C28-E28/2),"")</f>
        <v/>
      </c>
      <c r="G28" s="22">
        <f>IFERROR(1-F28,"")</f>
        <v/>
      </c>
      <c r="H28" s="22">
        <f>IFERROR(H27*G28,"")</f>
        <v/>
      </c>
      <c r="I28" s="22">
        <f>IFERROR(H28^2*SUMPRODUCT(D9:D28/(C9:C28*(C9:C28-D9:D28+0.0001))),"")</f>
        <v/>
      </c>
      <c r="J28" s="22">
        <f>IFERROR(MAX(0,H28-1.645*SQRT(I28)),"")</f>
        <v/>
      </c>
      <c r="K28" s="22">
        <f>IFERROR(MIN(1,H28+1.645*SQRT(I28)),"")</f>
        <v/>
      </c>
      <c r="L28" s="22">
        <f>IFERROR(MAX(0,H28-1.96*SQRT(I28)),"")</f>
        <v/>
      </c>
      <c r="M28" s="22">
        <f>IFERROR(MIN(1,H28+1.96*SQRT(I28)),"")</f>
        <v/>
      </c>
    </row>
    <row r="29">
      <c r="B29" s="18" t="inlineStr">
        <is>
          <t>21</t>
        </is>
      </c>
      <c r="C29" s="25">
        <f>IFERROR(C28-D28-E28,"")</f>
        <v/>
      </c>
      <c r="D29" s="19" t="n"/>
      <c r="E29" s="19" t="n"/>
      <c r="F29" s="48">
        <f>IFERROR(D29/(C29-E29/2),"")</f>
        <v/>
      </c>
      <c r="G29" s="48">
        <f>IFERROR(1-F29,"")</f>
        <v/>
      </c>
      <c r="H29" s="48">
        <f>IFERROR(H28*G29,"")</f>
        <v/>
      </c>
      <c r="I29" s="48">
        <f>IFERROR(H29^2*SUMPRODUCT(D9:D29/(C9:C29*(C9:C29-D9:D29+0.0001))),"")</f>
        <v/>
      </c>
      <c r="J29" s="48">
        <f>IFERROR(MAX(0,H29-1.645*SQRT(I29)),"")</f>
        <v/>
      </c>
      <c r="K29" s="48">
        <f>IFERROR(MIN(1,H29+1.645*SQRT(I29)),"")</f>
        <v/>
      </c>
      <c r="L29" s="48">
        <f>IFERROR(MAX(0,H29-1.96*SQRT(I29)),"")</f>
        <v/>
      </c>
      <c r="M29" s="48">
        <f>IFERROR(MIN(1,H29+1.96*SQRT(I29)),"")</f>
        <v/>
      </c>
    </row>
    <row r="30">
      <c r="B30" s="18" t="inlineStr">
        <is>
          <t>22</t>
        </is>
      </c>
      <c r="C30" s="25">
        <f>IFERROR(C29-D29-E29,"")</f>
        <v/>
      </c>
      <c r="D30" s="19" t="n"/>
      <c r="E30" s="19" t="n"/>
      <c r="F30" s="22">
        <f>IFERROR(D30/(C30-E30/2),"")</f>
        <v/>
      </c>
      <c r="G30" s="22">
        <f>IFERROR(1-F30,"")</f>
        <v/>
      </c>
      <c r="H30" s="22">
        <f>IFERROR(H29*G30,"")</f>
        <v/>
      </c>
      <c r="I30" s="22">
        <f>IFERROR(H30^2*SUMPRODUCT(D9:D30/(C9:C30*(C9:C30-D9:D30+0.0001))),"")</f>
        <v/>
      </c>
      <c r="J30" s="22">
        <f>IFERROR(MAX(0,H30-1.645*SQRT(I30)),"")</f>
        <v/>
      </c>
      <c r="K30" s="22">
        <f>IFERROR(MIN(1,H30+1.645*SQRT(I30)),"")</f>
        <v/>
      </c>
      <c r="L30" s="22">
        <f>IFERROR(MAX(0,H30-1.96*SQRT(I30)),"")</f>
        <v/>
      </c>
      <c r="M30" s="22">
        <f>IFERROR(MIN(1,H30+1.96*SQRT(I30)),"")</f>
        <v/>
      </c>
    </row>
    <row r="31">
      <c r="B31" s="18" t="inlineStr">
        <is>
          <t>23</t>
        </is>
      </c>
      <c r="C31" s="25">
        <f>IFERROR(C30-D30-E30,"")</f>
        <v/>
      </c>
      <c r="D31" s="19" t="n"/>
      <c r="E31" s="19" t="n"/>
      <c r="F31" s="48">
        <f>IFERROR(D31/(C31-E31/2),"")</f>
        <v/>
      </c>
      <c r="G31" s="48">
        <f>IFERROR(1-F31,"")</f>
        <v/>
      </c>
      <c r="H31" s="48">
        <f>IFERROR(H30*G31,"")</f>
        <v/>
      </c>
      <c r="I31" s="48">
        <f>IFERROR(H31^2*SUMPRODUCT(D9:D31/(C9:C31*(C9:C31-D9:D31+0.0001))),"")</f>
        <v/>
      </c>
      <c r="J31" s="48">
        <f>IFERROR(MAX(0,H31-1.645*SQRT(I31)),"")</f>
        <v/>
      </c>
      <c r="K31" s="48">
        <f>IFERROR(MIN(1,H31+1.645*SQRT(I31)),"")</f>
        <v/>
      </c>
      <c r="L31" s="48">
        <f>IFERROR(MAX(0,H31-1.96*SQRT(I31)),"")</f>
        <v/>
      </c>
      <c r="M31" s="48">
        <f>IFERROR(MIN(1,H31+1.96*SQRT(I31)),"")</f>
        <v/>
      </c>
    </row>
    <row r="32">
      <c r="B32" s="18" t="inlineStr">
        <is>
          <t>24</t>
        </is>
      </c>
      <c r="C32" s="25">
        <f>IFERROR(C31-D31-E31,"")</f>
        <v/>
      </c>
      <c r="D32" s="19" t="n"/>
      <c r="E32" s="19" t="n"/>
      <c r="F32" s="22">
        <f>IFERROR(D32/(C32-E32/2),"")</f>
        <v/>
      </c>
      <c r="G32" s="22">
        <f>IFERROR(1-F32,"")</f>
        <v/>
      </c>
      <c r="H32" s="22">
        <f>IFERROR(H31*G32,"")</f>
        <v/>
      </c>
      <c r="I32" s="22">
        <f>IFERROR(H32^2*SUMPRODUCT(D9:D32/(C9:C32*(C9:C32-D9:D32+0.0001))),"")</f>
        <v/>
      </c>
      <c r="J32" s="22">
        <f>IFERROR(MAX(0,H32-1.645*SQRT(I32)),"")</f>
        <v/>
      </c>
      <c r="K32" s="22">
        <f>IFERROR(MIN(1,H32+1.645*SQRT(I32)),"")</f>
        <v/>
      </c>
      <c r="L32" s="22">
        <f>IFERROR(MAX(0,H32-1.96*SQRT(I32)),"")</f>
        <v/>
      </c>
      <c r="M32" s="22">
        <f>IFERROR(MIN(1,H32+1.96*SQRT(I32)),"")</f>
        <v/>
      </c>
    </row>
    <row r="33">
      <c r="B33" s="18" t="inlineStr">
        <is>
          <t>25</t>
        </is>
      </c>
      <c r="C33" s="25">
        <f>IFERROR(C32-D32-E32,"")</f>
        <v/>
      </c>
      <c r="D33" s="19" t="n"/>
      <c r="E33" s="19" t="n"/>
      <c r="F33" s="48">
        <f>IFERROR(D33/(C33-E33/2),"")</f>
        <v/>
      </c>
      <c r="G33" s="48">
        <f>IFERROR(1-F33,"")</f>
        <v/>
      </c>
      <c r="H33" s="48">
        <f>IFERROR(H32*G33,"")</f>
        <v/>
      </c>
      <c r="I33" s="48">
        <f>IFERROR(H33^2*SUMPRODUCT(D9:D33/(C9:C33*(C9:C33-D9:D33+0.0001))),"")</f>
        <v/>
      </c>
      <c r="J33" s="48">
        <f>IFERROR(MAX(0,H33-1.645*SQRT(I33)),"")</f>
        <v/>
      </c>
      <c r="K33" s="48">
        <f>IFERROR(MIN(1,H33+1.645*SQRT(I33)),"")</f>
        <v/>
      </c>
      <c r="L33" s="48">
        <f>IFERROR(MAX(0,H33-1.96*SQRT(I33)),"")</f>
        <v/>
      </c>
      <c r="M33" s="48">
        <f>IFERROR(MIN(1,H33+1.96*SQRT(I33)),"")</f>
        <v/>
      </c>
    </row>
    <row r="34">
      <c r="B34" s="18" t="inlineStr">
        <is>
          <t>26</t>
        </is>
      </c>
      <c r="C34" s="25">
        <f>IFERROR(C33-D33-E33,"")</f>
        <v/>
      </c>
      <c r="D34" s="19" t="n"/>
      <c r="E34" s="19" t="n"/>
      <c r="F34" s="22">
        <f>IFERROR(D34/(C34-E34/2),"")</f>
        <v/>
      </c>
      <c r="G34" s="22">
        <f>IFERROR(1-F34,"")</f>
        <v/>
      </c>
      <c r="H34" s="22">
        <f>IFERROR(H33*G34,"")</f>
        <v/>
      </c>
      <c r="I34" s="22">
        <f>IFERROR(H34^2*SUMPRODUCT(D9:D34/(C9:C34*(C9:C34-D9:D34+0.0001))),"")</f>
        <v/>
      </c>
      <c r="J34" s="22">
        <f>IFERROR(MAX(0,H34-1.645*SQRT(I34)),"")</f>
        <v/>
      </c>
      <c r="K34" s="22">
        <f>IFERROR(MIN(1,H34+1.645*SQRT(I34)),"")</f>
        <v/>
      </c>
      <c r="L34" s="22">
        <f>IFERROR(MAX(0,H34-1.96*SQRT(I34)),"")</f>
        <v/>
      </c>
      <c r="M34" s="22">
        <f>IFERROR(MIN(1,H34+1.96*SQRT(I34)),"")</f>
        <v/>
      </c>
    </row>
    <row r="35">
      <c r="B35" s="18" t="inlineStr">
        <is>
          <t>27</t>
        </is>
      </c>
      <c r="C35" s="25">
        <f>IFERROR(C34-D34-E34,"")</f>
        <v/>
      </c>
      <c r="D35" s="19" t="n"/>
      <c r="E35" s="19" t="n"/>
      <c r="F35" s="48">
        <f>IFERROR(D35/(C35-E35/2),"")</f>
        <v/>
      </c>
      <c r="G35" s="48">
        <f>IFERROR(1-F35,"")</f>
        <v/>
      </c>
      <c r="H35" s="48">
        <f>IFERROR(H34*G35,"")</f>
        <v/>
      </c>
      <c r="I35" s="48">
        <f>IFERROR(H35^2*SUMPRODUCT(D9:D35/(C9:C35*(C9:C35-D9:D35+0.0001))),"")</f>
        <v/>
      </c>
      <c r="J35" s="48">
        <f>IFERROR(MAX(0,H35-1.645*SQRT(I35)),"")</f>
        <v/>
      </c>
      <c r="K35" s="48">
        <f>IFERROR(MIN(1,H35+1.645*SQRT(I35)),"")</f>
        <v/>
      </c>
      <c r="L35" s="48">
        <f>IFERROR(MAX(0,H35-1.96*SQRT(I35)),"")</f>
        <v/>
      </c>
      <c r="M35" s="48">
        <f>IFERROR(MIN(1,H35+1.96*SQRT(I35)),"")</f>
        <v/>
      </c>
    </row>
    <row r="36">
      <c r="B36" s="18" t="inlineStr">
        <is>
          <t>28</t>
        </is>
      </c>
      <c r="C36" s="25">
        <f>IFERROR(C35-D35-E35,"")</f>
        <v/>
      </c>
      <c r="D36" s="19" t="n"/>
      <c r="E36" s="19" t="n"/>
      <c r="F36" s="22">
        <f>IFERROR(D36/(C36-E36/2),"")</f>
        <v/>
      </c>
      <c r="G36" s="22">
        <f>IFERROR(1-F36,"")</f>
        <v/>
      </c>
      <c r="H36" s="22">
        <f>IFERROR(H35*G36,"")</f>
        <v/>
      </c>
      <c r="I36" s="22">
        <f>IFERROR(H36^2*SUMPRODUCT(D9:D36/(C9:C36*(C9:C36-D9:D36+0.0001))),"")</f>
        <v/>
      </c>
      <c r="J36" s="22">
        <f>IFERROR(MAX(0,H36-1.645*SQRT(I36)),"")</f>
        <v/>
      </c>
      <c r="K36" s="22">
        <f>IFERROR(MIN(1,H36+1.645*SQRT(I36)),"")</f>
        <v/>
      </c>
      <c r="L36" s="22">
        <f>IFERROR(MAX(0,H36-1.96*SQRT(I36)),"")</f>
        <v/>
      </c>
      <c r="M36" s="22">
        <f>IFERROR(MIN(1,H36+1.96*SQRT(I36)),"")</f>
        <v/>
      </c>
    </row>
    <row r="37">
      <c r="B37" s="18" t="inlineStr">
        <is>
          <t>29</t>
        </is>
      </c>
      <c r="C37" s="25">
        <f>IFERROR(C36-D36-E36,"")</f>
        <v/>
      </c>
      <c r="D37" s="19" t="n"/>
      <c r="E37" s="19" t="n"/>
      <c r="F37" s="48">
        <f>IFERROR(D37/(C37-E37/2),"")</f>
        <v/>
      </c>
      <c r="G37" s="48">
        <f>IFERROR(1-F37,"")</f>
        <v/>
      </c>
      <c r="H37" s="48">
        <f>IFERROR(H36*G37,"")</f>
        <v/>
      </c>
      <c r="I37" s="48">
        <f>IFERROR(H37^2*SUMPRODUCT(D9:D37/(C9:C37*(C9:C37-D9:D37+0.0001))),"")</f>
        <v/>
      </c>
      <c r="J37" s="48">
        <f>IFERROR(MAX(0,H37-1.645*SQRT(I37)),"")</f>
        <v/>
      </c>
      <c r="K37" s="48">
        <f>IFERROR(MIN(1,H37+1.645*SQRT(I37)),"")</f>
        <v/>
      </c>
      <c r="L37" s="48">
        <f>IFERROR(MAX(0,H37-1.96*SQRT(I37)),"")</f>
        <v/>
      </c>
      <c r="M37" s="48">
        <f>IFERROR(MIN(1,H37+1.96*SQRT(I37)),"")</f>
        <v/>
      </c>
    </row>
    <row r="38">
      <c r="B38" s="18" t="inlineStr">
        <is>
          <t>30</t>
        </is>
      </c>
      <c r="C38" s="25">
        <f>IFERROR(C37-D37-E37,"")</f>
        <v/>
      </c>
      <c r="D38" s="19" t="n"/>
      <c r="E38" s="19" t="n"/>
      <c r="F38" s="22">
        <f>IFERROR(D38/(C38-E38/2),"")</f>
        <v/>
      </c>
      <c r="G38" s="22">
        <f>IFERROR(1-F38,"")</f>
        <v/>
      </c>
      <c r="H38" s="22">
        <f>IFERROR(H37*G38,"")</f>
        <v/>
      </c>
      <c r="I38" s="22">
        <f>IFERROR(H38^2*SUMPRODUCT(D9:D38/(C9:C38*(C9:C38-D9:D38+0.0001))),"")</f>
        <v/>
      </c>
      <c r="J38" s="22">
        <f>IFERROR(MAX(0,H38-1.645*SQRT(I38)),"")</f>
        <v/>
      </c>
      <c r="K38" s="22">
        <f>IFERROR(MIN(1,H38+1.645*SQRT(I38)),"")</f>
        <v/>
      </c>
      <c r="L38" s="22">
        <f>IFERROR(MAX(0,H38-1.96*SQRT(I38)),"")</f>
        <v/>
      </c>
      <c r="M38" s="22">
        <f>IFERROR(MIN(1,H38+1.96*SQRT(I38)),"")</f>
        <v/>
      </c>
    </row>
    <row r="39">
      <c r="B39" s="18" t="inlineStr">
        <is>
          <t>31</t>
        </is>
      </c>
      <c r="C39" s="25">
        <f>IFERROR(C38-D38-E38,"")</f>
        <v/>
      </c>
      <c r="D39" s="19" t="n"/>
      <c r="E39" s="19" t="n"/>
      <c r="F39" s="48">
        <f>IFERROR(D39/(C39-E39/2),"")</f>
        <v/>
      </c>
      <c r="G39" s="48">
        <f>IFERROR(1-F39,"")</f>
        <v/>
      </c>
      <c r="H39" s="48">
        <f>IFERROR(H38*G39,"")</f>
        <v/>
      </c>
      <c r="I39" s="48">
        <f>IFERROR(H39^2*SUMPRODUCT(D9:D39/(C9:C39*(C9:C39-D9:D39+0.0001))),"")</f>
        <v/>
      </c>
      <c r="J39" s="48">
        <f>IFERROR(MAX(0,H39-1.645*SQRT(I39)),"")</f>
        <v/>
      </c>
      <c r="K39" s="48">
        <f>IFERROR(MIN(1,H39+1.645*SQRT(I39)),"")</f>
        <v/>
      </c>
      <c r="L39" s="48">
        <f>IFERROR(MAX(0,H39-1.96*SQRT(I39)),"")</f>
        <v/>
      </c>
      <c r="M39" s="48">
        <f>IFERROR(MIN(1,H39+1.96*SQRT(I39)),"")</f>
        <v/>
      </c>
    </row>
    <row r="40">
      <c r="B40" s="18" t="inlineStr">
        <is>
          <t>32</t>
        </is>
      </c>
      <c r="C40" s="25">
        <f>IFERROR(C39-D39-E39,"")</f>
        <v/>
      </c>
      <c r="D40" s="19" t="n"/>
      <c r="E40" s="19" t="n"/>
      <c r="F40" s="22">
        <f>IFERROR(D40/(C40-E40/2),"")</f>
        <v/>
      </c>
      <c r="G40" s="22">
        <f>IFERROR(1-F40,"")</f>
        <v/>
      </c>
      <c r="H40" s="22">
        <f>IFERROR(H39*G40,"")</f>
        <v/>
      </c>
      <c r="I40" s="22">
        <f>IFERROR(H40^2*SUMPRODUCT(D9:D40/(C9:C40*(C9:C40-D9:D40+0.0001))),"")</f>
        <v/>
      </c>
      <c r="J40" s="22">
        <f>IFERROR(MAX(0,H40-1.645*SQRT(I40)),"")</f>
        <v/>
      </c>
      <c r="K40" s="22">
        <f>IFERROR(MIN(1,H40+1.645*SQRT(I40)),"")</f>
        <v/>
      </c>
      <c r="L40" s="22">
        <f>IFERROR(MAX(0,H40-1.96*SQRT(I40)),"")</f>
        <v/>
      </c>
      <c r="M40" s="22">
        <f>IFERROR(MIN(1,H40+1.96*SQRT(I40)),"")</f>
        <v/>
      </c>
    </row>
    <row r="41">
      <c r="B41" s="18" t="inlineStr">
        <is>
          <t>33</t>
        </is>
      </c>
      <c r="C41" s="25">
        <f>IFERROR(C40-D40-E40,"")</f>
        <v/>
      </c>
      <c r="D41" s="19" t="n"/>
      <c r="E41" s="19" t="n"/>
      <c r="F41" s="48">
        <f>IFERROR(D41/(C41-E41/2),"")</f>
        <v/>
      </c>
      <c r="G41" s="48">
        <f>IFERROR(1-F41,"")</f>
        <v/>
      </c>
      <c r="H41" s="48">
        <f>IFERROR(H40*G41,"")</f>
        <v/>
      </c>
      <c r="I41" s="48">
        <f>IFERROR(H41^2*SUMPRODUCT(D9:D41/(C9:C41*(C9:C41-D9:D41+0.0001))),"")</f>
        <v/>
      </c>
      <c r="J41" s="48">
        <f>IFERROR(MAX(0,H41-1.645*SQRT(I41)),"")</f>
        <v/>
      </c>
      <c r="K41" s="48">
        <f>IFERROR(MIN(1,H41+1.645*SQRT(I41)),"")</f>
        <v/>
      </c>
      <c r="L41" s="48">
        <f>IFERROR(MAX(0,H41-1.96*SQRT(I41)),"")</f>
        <v/>
      </c>
      <c r="M41" s="48">
        <f>IFERROR(MIN(1,H41+1.96*SQRT(I41)),"")</f>
        <v/>
      </c>
    </row>
    <row r="42">
      <c r="B42" s="18" t="inlineStr">
        <is>
          <t>34</t>
        </is>
      </c>
      <c r="C42" s="25">
        <f>IFERROR(C41-D41-E41,"")</f>
        <v/>
      </c>
      <c r="D42" s="19" t="n"/>
      <c r="E42" s="19" t="n"/>
      <c r="F42" s="22">
        <f>IFERROR(D42/(C42-E42/2),"")</f>
        <v/>
      </c>
      <c r="G42" s="22">
        <f>IFERROR(1-F42,"")</f>
        <v/>
      </c>
      <c r="H42" s="22">
        <f>IFERROR(H41*G42,"")</f>
        <v/>
      </c>
      <c r="I42" s="22">
        <f>IFERROR(H42^2*SUMPRODUCT(D9:D42/(C9:C42*(C9:C42-D9:D42+0.0001))),"")</f>
        <v/>
      </c>
      <c r="J42" s="22">
        <f>IFERROR(MAX(0,H42-1.645*SQRT(I42)),"")</f>
        <v/>
      </c>
      <c r="K42" s="22">
        <f>IFERROR(MIN(1,H42+1.645*SQRT(I42)),"")</f>
        <v/>
      </c>
      <c r="L42" s="22">
        <f>IFERROR(MAX(0,H42-1.96*SQRT(I42)),"")</f>
        <v/>
      </c>
      <c r="M42" s="22">
        <f>IFERROR(MIN(1,H42+1.96*SQRT(I42)),"")</f>
        <v/>
      </c>
    </row>
    <row r="43">
      <c r="B43" s="18" t="inlineStr">
        <is>
          <t>35</t>
        </is>
      </c>
      <c r="C43" s="25">
        <f>IFERROR(C42-D42-E42,"")</f>
        <v/>
      </c>
      <c r="D43" s="19" t="n"/>
      <c r="E43" s="19" t="n"/>
      <c r="F43" s="48">
        <f>IFERROR(D43/(C43-E43/2),"")</f>
        <v/>
      </c>
      <c r="G43" s="48">
        <f>IFERROR(1-F43,"")</f>
        <v/>
      </c>
      <c r="H43" s="48">
        <f>IFERROR(H42*G43,"")</f>
        <v/>
      </c>
      <c r="I43" s="48">
        <f>IFERROR(H43^2*SUMPRODUCT(D9:D43/(C9:C43*(C9:C43-D9:D43+0.0001))),"")</f>
        <v/>
      </c>
      <c r="J43" s="48">
        <f>IFERROR(MAX(0,H43-1.645*SQRT(I43)),"")</f>
        <v/>
      </c>
      <c r="K43" s="48">
        <f>IFERROR(MIN(1,H43+1.645*SQRT(I43)),"")</f>
        <v/>
      </c>
      <c r="L43" s="48">
        <f>IFERROR(MAX(0,H43-1.96*SQRT(I43)),"")</f>
        <v/>
      </c>
      <c r="M43" s="48">
        <f>IFERROR(MIN(1,H43+1.96*SQRT(I43)),"")</f>
        <v/>
      </c>
    </row>
    <row r="44">
      <c r="B44" s="18" t="inlineStr">
        <is>
          <t>36</t>
        </is>
      </c>
      <c r="C44" s="25">
        <f>IFERROR(C43-D43-E43,"")</f>
        <v/>
      </c>
      <c r="D44" s="19" t="n"/>
      <c r="E44" s="19" t="n"/>
      <c r="F44" s="22">
        <f>IFERROR(D44/(C44-E44/2),"")</f>
        <v/>
      </c>
      <c r="G44" s="22">
        <f>IFERROR(1-F44,"")</f>
        <v/>
      </c>
      <c r="H44" s="22">
        <f>IFERROR(H43*G44,"")</f>
        <v/>
      </c>
      <c r="I44" s="22">
        <f>IFERROR(H44^2*SUMPRODUCT(D9:D44/(C9:C44*(C9:C44-D9:D44+0.0001))),"")</f>
        <v/>
      </c>
      <c r="J44" s="22">
        <f>IFERROR(MAX(0,H44-1.645*SQRT(I44)),"")</f>
        <v/>
      </c>
      <c r="K44" s="22">
        <f>IFERROR(MIN(1,H44+1.645*SQRT(I44)),"")</f>
        <v/>
      </c>
      <c r="L44" s="22">
        <f>IFERROR(MAX(0,H44-1.96*SQRT(I44)),"")</f>
        <v/>
      </c>
      <c r="M44" s="22">
        <f>IFERROR(MIN(1,H44+1.96*SQRT(I44)),"")</f>
        <v/>
      </c>
    </row>
    <row r="45">
      <c r="B45" s="18" t="inlineStr">
        <is>
          <t>37</t>
        </is>
      </c>
      <c r="C45" s="25">
        <f>IFERROR(C44-D44-E44,"")</f>
        <v/>
      </c>
      <c r="D45" s="19" t="n"/>
      <c r="E45" s="19" t="n"/>
      <c r="F45" s="48">
        <f>IFERROR(D45/(C45-E45/2),"")</f>
        <v/>
      </c>
      <c r="G45" s="48">
        <f>IFERROR(1-F45,"")</f>
        <v/>
      </c>
      <c r="H45" s="48">
        <f>IFERROR(H44*G45,"")</f>
        <v/>
      </c>
      <c r="I45" s="48">
        <f>IFERROR(H45^2*SUMPRODUCT(D9:D45/(C9:C45*(C9:C45-D9:D45+0.0001))),"")</f>
        <v/>
      </c>
      <c r="J45" s="48">
        <f>IFERROR(MAX(0,H45-1.645*SQRT(I45)),"")</f>
        <v/>
      </c>
      <c r="K45" s="48">
        <f>IFERROR(MIN(1,H45+1.645*SQRT(I45)),"")</f>
        <v/>
      </c>
      <c r="L45" s="48">
        <f>IFERROR(MAX(0,H45-1.96*SQRT(I45)),"")</f>
        <v/>
      </c>
      <c r="M45" s="48">
        <f>IFERROR(MIN(1,H45+1.96*SQRT(I45)),"")</f>
        <v/>
      </c>
    </row>
    <row r="46">
      <c r="B46" s="18" t="inlineStr">
        <is>
          <t>38</t>
        </is>
      </c>
      <c r="C46" s="25">
        <f>IFERROR(C45-D45-E45,"")</f>
        <v/>
      </c>
      <c r="D46" s="19" t="n"/>
      <c r="E46" s="19" t="n"/>
      <c r="F46" s="22">
        <f>IFERROR(D46/(C46-E46/2),"")</f>
        <v/>
      </c>
      <c r="G46" s="22">
        <f>IFERROR(1-F46,"")</f>
        <v/>
      </c>
      <c r="H46" s="22">
        <f>IFERROR(H45*G46,"")</f>
        <v/>
      </c>
      <c r="I46" s="22">
        <f>IFERROR(H46^2*SUMPRODUCT(D9:D46/(C9:C46*(C9:C46-D9:D46+0.0001))),"")</f>
        <v/>
      </c>
      <c r="J46" s="22">
        <f>IFERROR(MAX(0,H46-1.645*SQRT(I46)),"")</f>
        <v/>
      </c>
      <c r="K46" s="22">
        <f>IFERROR(MIN(1,H46+1.645*SQRT(I46)),"")</f>
        <v/>
      </c>
      <c r="L46" s="22">
        <f>IFERROR(MAX(0,H46-1.96*SQRT(I46)),"")</f>
        <v/>
      </c>
      <c r="M46" s="22">
        <f>IFERROR(MIN(1,H46+1.96*SQRT(I46)),"")</f>
        <v/>
      </c>
    </row>
    <row r="47">
      <c r="B47" s="18" t="inlineStr">
        <is>
          <t>39</t>
        </is>
      </c>
      <c r="C47" s="25">
        <f>IFERROR(C46-D46-E46,"")</f>
        <v/>
      </c>
      <c r="D47" s="19" t="n"/>
      <c r="E47" s="19" t="n"/>
      <c r="F47" s="48">
        <f>IFERROR(D47/(C47-E47/2),"")</f>
        <v/>
      </c>
      <c r="G47" s="48">
        <f>IFERROR(1-F47,"")</f>
        <v/>
      </c>
      <c r="H47" s="48">
        <f>IFERROR(H46*G47,"")</f>
        <v/>
      </c>
      <c r="I47" s="48">
        <f>IFERROR(H47^2*SUMPRODUCT(D9:D47/(C9:C47*(C9:C47-D9:D47+0.0001))),"")</f>
        <v/>
      </c>
      <c r="J47" s="48">
        <f>IFERROR(MAX(0,H47-1.645*SQRT(I47)),"")</f>
        <v/>
      </c>
      <c r="K47" s="48">
        <f>IFERROR(MIN(1,H47+1.645*SQRT(I47)),"")</f>
        <v/>
      </c>
      <c r="L47" s="48">
        <f>IFERROR(MAX(0,H47-1.96*SQRT(I47)),"")</f>
        <v/>
      </c>
      <c r="M47" s="48">
        <f>IFERROR(MIN(1,H47+1.96*SQRT(I47)),"")</f>
        <v/>
      </c>
    </row>
    <row r="48">
      <c r="B48" s="18" t="inlineStr">
        <is>
          <t>40</t>
        </is>
      </c>
      <c r="C48" s="25">
        <f>IFERROR(C47-D47-E47,"")</f>
        <v/>
      </c>
      <c r="D48" s="19" t="n"/>
      <c r="E48" s="19" t="n"/>
      <c r="F48" s="22">
        <f>IFERROR(D48/(C48-E48/2),"")</f>
        <v/>
      </c>
      <c r="G48" s="22">
        <f>IFERROR(1-F48,"")</f>
        <v/>
      </c>
      <c r="H48" s="22">
        <f>IFERROR(H47*G48,"")</f>
        <v/>
      </c>
      <c r="I48" s="22">
        <f>IFERROR(H48^2*SUMPRODUCT(D9:D48/(C9:C48*(C9:C48-D9:D48+0.0001))),"")</f>
        <v/>
      </c>
      <c r="J48" s="22">
        <f>IFERROR(MAX(0,H48-1.645*SQRT(I48)),"")</f>
        <v/>
      </c>
      <c r="K48" s="22">
        <f>IFERROR(MIN(1,H48+1.645*SQRT(I48)),"")</f>
        <v/>
      </c>
      <c r="L48" s="22">
        <f>IFERROR(MAX(0,H48-1.96*SQRT(I48)),"")</f>
        <v/>
      </c>
      <c r="M48" s="22">
        <f>IFERROR(MIN(1,H48+1.96*SQRT(I48)),"")</f>
        <v/>
      </c>
    </row>
    <row r="49">
      <c r="B49" s="18" t="inlineStr">
        <is>
          <t>41</t>
        </is>
      </c>
      <c r="C49" s="25">
        <f>IFERROR(C48-D48-E48,"")</f>
        <v/>
      </c>
      <c r="D49" s="19" t="n"/>
      <c r="E49" s="19" t="n"/>
      <c r="F49" s="48">
        <f>IFERROR(D49/(C49-E49/2),"")</f>
        <v/>
      </c>
      <c r="G49" s="48">
        <f>IFERROR(1-F49,"")</f>
        <v/>
      </c>
      <c r="H49" s="48">
        <f>IFERROR(H48*G49,"")</f>
        <v/>
      </c>
      <c r="I49" s="48">
        <f>IFERROR(H49^2*SUMPRODUCT(D9:D49/(C9:C49*(C9:C49-D9:D49+0.0001))),"")</f>
        <v/>
      </c>
      <c r="J49" s="48">
        <f>IFERROR(MAX(0,H49-1.645*SQRT(I49)),"")</f>
        <v/>
      </c>
      <c r="K49" s="48">
        <f>IFERROR(MIN(1,H49+1.645*SQRT(I49)),"")</f>
        <v/>
      </c>
      <c r="L49" s="48">
        <f>IFERROR(MAX(0,H49-1.96*SQRT(I49)),"")</f>
        <v/>
      </c>
      <c r="M49" s="48">
        <f>IFERROR(MIN(1,H49+1.96*SQRT(I49)),"")</f>
        <v/>
      </c>
    </row>
    <row r="50">
      <c r="B50" s="18" t="inlineStr">
        <is>
          <t>42</t>
        </is>
      </c>
      <c r="C50" s="25">
        <f>IFERROR(C49-D49-E49,"")</f>
        <v/>
      </c>
      <c r="D50" s="19" t="n"/>
      <c r="E50" s="19" t="n"/>
      <c r="F50" s="22">
        <f>IFERROR(D50/(C50-E50/2),"")</f>
        <v/>
      </c>
      <c r="G50" s="22">
        <f>IFERROR(1-F50,"")</f>
        <v/>
      </c>
      <c r="H50" s="22">
        <f>IFERROR(H49*G50,"")</f>
        <v/>
      </c>
      <c r="I50" s="22">
        <f>IFERROR(H50^2*SUMPRODUCT(D9:D50/(C9:C50*(C9:C50-D9:D50+0.0001))),"")</f>
        <v/>
      </c>
      <c r="J50" s="22">
        <f>IFERROR(MAX(0,H50-1.645*SQRT(I50)),"")</f>
        <v/>
      </c>
      <c r="K50" s="22">
        <f>IFERROR(MIN(1,H50+1.645*SQRT(I50)),"")</f>
        <v/>
      </c>
      <c r="L50" s="22">
        <f>IFERROR(MAX(0,H50-1.96*SQRT(I50)),"")</f>
        <v/>
      </c>
      <c r="M50" s="22">
        <f>IFERROR(MIN(1,H50+1.96*SQRT(I50)),"")</f>
        <v/>
      </c>
    </row>
    <row r="51">
      <c r="B51" s="18" t="inlineStr">
        <is>
          <t>43</t>
        </is>
      </c>
      <c r="C51" s="25">
        <f>IFERROR(C50-D50-E50,"")</f>
        <v/>
      </c>
      <c r="D51" s="19" t="n"/>
      <c r="E51" s="19" t="n"/>
      <c r="F51" s="48">
        <f>IFERROR(D51/(C51-E51/2),"")</f>
        <v/>
      </c>
      <c r="G51" s="48">
        <f>IFERROR(1-F51,"")</f>
        <v/>
      </c>
      <c r="H51" s="48">
        <f>IFERROR(H50*G51,"")</f>
        <v/>
      </c>
      <c r="I51" s="48">
        <f>IFERROR(H51^2*SUMPRODUCT(D9:D51/(C9:C51*(C9:C51-D9:D51+0.0001))),"")</f>
        <v/>
      </c>
      <c r="J51" s="48">
        <f>IFERROR(MAX(0,H51-1.645*SQRT(I51)),"")</f>
        <v/>
      </c>
      <c r="K51" s="48">
        <f>IFERROR(MIN(1,H51+1.645*SQRT(I51)),"")</f>
        <v/>
      </c>
      <c r="L51" s="48">
        <f>IFERROR(MAX(0,H51-1.96*SQRT(I51)),"")</f>
        <v/>
      </c>
      <c r="M51" s="48">
        <f>IFERROR(MIN(1,H51+1.96*SQRT(I51)),"")</f>
        <v/>
      </c>
    </row>
    <row r="52">
      <c r="B52" s="18" t="inlineStr">
        <is>
          <t>44</t>
        </is>
      </c>
      <c r="C52" s="25">
        <f>IFERROR(C51-D51-E51,"")</f>
        <v/>
      </c>
      <c r="D52" s="19" t="n"/>
      <c r="E52" s="19" t="n"/>
      <c r="F52" s="22">
        <f>IFERROR(D52/(C52-E52/2),"")</f>
        <v/>
      </c>
      <c r="G52" s="22">
        <f>IFERROR(1-F52,"")</f>
        <v/>
      </c>
      <c r="H52" s="22">
        <f>IFERROR(H51*G52,"")</f>
        <v/>
      </c>
      <c r="I52" s="22">
        <f>IFERROR(H52^2*SUMPRODUCT(D9:D52/(C9:C52*(C9:C52-D9:D52+0.0001))),"")</f>
        <v/>
      </c>
      <c r="J52" s="22">
        <f>IFERROR(MAX(0,H52-1.645*SQRT(I52)),"")</f>
        <v/>
      </c>
      <c r="K52" s="22">
        <f>IFERROR(MIN(1,H52+1.645*SQRT(I52)),"")</f>
        <v/>
      </c>
      <c r="L52" s="22">
        <f>IFERROR(MAX(0,H52-1.96*SQRT(I52)),"")</f>
        <v/>
      </c>
      <c r="M52" s="22">
        <f>IFERROR(MIN(1,H52+1.96*SQRT(I52)),"")</f>
        <v/>
      </c>
    </row>
    <row r="53">
      <c r="B53" s="18" t="inlineStr">
        <is>
          <t>45</t>
        </is>
      </c>
      <c r="C53" s="25">
        <f>IFERROR(C52-D52-E52,"")</f>
        <v/>
      </c>
      <c r="D53" s="19" t="n"/>
      <c r="E53" s="19" t="n"/>
      <c r="F53" s="48">
        <f>IFERROR(D53/(C53-E53/2),"")</f>
        <v/>
      </c>
      <c r="G53" s="48">
        <f>IFERROR(1-F53,"")</f>
        <v/>
      </c>
      <c r="H53" s="48">
        <f>IFERROR(H52*G53,"")</f>
        <v/>
      </c>
      <c r="I53" s="48">
        <f>IFERROR(H53^2*SUMPRODUCT(D9:D53/(C9:C53*(C9:C53-D9:D53+0.0001))),"")</f>
        <v/>
      </c>
      <c r="J53" s="48">
        <f>IFERROR(MAX(0,H53-1.645*SQRT(I53)),"")</f>
        <v/>
      </c>
      <c r="K53" s="48">
        <f>IFERROR(MIN(1,H53+1.645*SQRT(I53)),"")</f>
        <v/>
      </c>
      <c r="L53" s="48">
        <f>IFERROR(MAX(0,H53-1.96*SQRT(I53)),"")</f>
        <v/>
      </c>
      <c r="M53" s="48">
        <f>IFERROR(MIN(1,H53+1.96*SQRT(I53)),"")</f>
        <v/>
      </c>
    </row>
    <row r="54">
      <c r="B54" s="18" t="inlineStr">
        <is>
          <t>46</t>
        </is>
      </c>
      <c r="C54" s="25">
        <f>IFERROR(C53-D53-E53,"")</f>
        <v/>
      </c>
      <c r="D54" s="19" t="n"/>
      <c r="E54" s="19" t="n"/>
      <c r="F54" s="22">
        <f>IFERROR(D54/(C54-E54/2),"")</f>
        <v/>
      </c>
      <c r="G54" s="22">
        <f>IFERROR(1-F54,"")</f>
        <v/>
      </c>
      <c r="H54" s="22">
        <f>IFERROR(H53*G54,"")</f>
        <v/>
      </c>
      <c r="I54" s="22">
        <f>IFERROR(H54^2*SUMPRODUCT(D9:D54/(C9:C54*(C9:C54-D9:D54+0.0001))),"")</f>
        <v/>
      </c>
      <c r="J54" s="22">
        <f>IFERROR(MAX(0,H54-1.645*SQRT(I54)),"")</f>
        <v/>
      </c>
      <c r="K54" s="22">
        <f>IFERROR(MIN(1,H54+1.645*SQRT(I54)),"")</f>
        <v/>
      </c>
      <c r="L54" s="22">
        <f>IFERROR(MAX(0,H54-1.96*SQRT(I54)),"")</f>
        <v/>
      </c>
      <c r="M54" s="22">
        <f>IFERROR(MIN(1,H54+1.96*SQRT(I54)),"")</f>
        <v/>
      </c>
    </row>
    <row r="55">
      <c r="B55" s="18" t="inlineStr">
        <is>
          <t>47</t>
        </is>
      </c>
      <c r="C55" s="25">
        <f>IFERROR(C54-D54-E54,"")</f>
        <v/>
      </c>
      <c r="D55" s="19" t="n"/>
      <c r="E55" s="19" t="n"/>
      <c r="F55" s="48">
        <f>IFERROR(D55/(C55-E55/2),"")</f>
        <v/>
      </c>
      <c r="G55" s="48">
        <f>IFERROR(1-F55,"")</f>
        <v/>
      </c>
      <c r="H55" s="48">
        <f>IFERROR(H54*G55,"")</f>
        <v/>
      </c>
      <c r="I55" s="48">
        <f>IFERROR(H55^2*SUMPRODUCT(D9:D55/(C9:C55*(C9:C55-D9:D55+0.0001))),"")</f>
        <v/>
      </c>
      <c r="J55" s="48">
        <f>IFERROR(MAX(0,H55-1.645*SQRT(I55)),"")</f>
        <v/>
      </c>
      <c r="K55" s="48">
        <f>IFERROR(MIN(1,H55+1.645*SQRT(I55)),"")</f>
        <v/>
      </c>
      <c r="L55" s="48">
        <f>IFERROR(MAX(0,H55-1.96*SQRT(I55)),"")</f>
        <v/>
      </c>
      <c r="M55" s="48">
        <f>IFERROR(MIN(1,H55+1.96*SQRT(I55)),"")</f>
        <v/>
      </c>
    </row>
  </sheetData>
  <mergeCells count="2">
    <mergeCell ref="B2:E5"/>
    <mergeCell ref="B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B1" s="14" t="inlineStr">
        <is>
          <t>Standardization</t>
        </is>
      </c>
    </row>
    <row r="2">
      <c r="B2" s="15" t="inlineStr">
        <is>
          <t>Enter numerators, denominators, and standard weights per stratum.
Up to 5 comparison groups vs. 1 reference. Supports rates (R) and proportions (P).
Exact CI uses Dobson-Kuulasmaa Poisson method — computed in Shiny.
Ref: Rothman KJ &amp; Greenland S, Modern Epidemiology 3rd ed. Ch. 15.</t>
        </is>
      </c>
      <c r="C2" s="50" t="n"/>
      <c r="D2" s="50" t="n"/>
      <c r="E2" s="50" t="n"/>
      <c r="F2" s="51" t="n"/>
    </row>
    <row r="3">
      <c r="B3" s="52" t="n"/>
      <c r="F3" s="53" t="n"/>
    </row>
    <row r="4">
      <c r="B4" s="52" t="n"/>
      <c r="F4" s="53" t="n"/>
    </row>
    <row r="5">
      <c r="B5" s="52" t="n"/>
      <c r="F5" s="53" t="n"/>
    </row>
    <row r="6">
      <c r="B6" s="52" t="n"/>
      <c r="F6" s="53" t="n"/>
    </row>
    <row r="7">
      <c r="B7" s="54" t="n"/>
      <c r="C7" s="55" t="n"/>
      <c r="D7" s="55" t="n"/>
      <c r="E7" s="55" t="n"/>
      <c r="F7" s="56" t="n"/>
    </row>
    <row r="9">
      <c r="B9" s="49" t="inlineStr">
        <is>
          <t>→ Full formula implementation in the Shiny app (see CLAUDE.md for spec)</t>
        </is>
      </c>
      <c r="C9" s="27" t="n"/>
      <c r="D9" s="27" t="n"/>
      <c r="E9" s="27" t="n"/>
      <c r="F9" s="28" t="n"/>
    </row>
  </sheetData>
  <mergeCells count="3">
    <mergeCell ref="B9:F9"/>
    <mergeCell ref="B1:F1"/>
    <mergeCell ref="B2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B1" s="14" t="inlineStr">
        <is>
          <t>Case-control Power</t>
        </is>
      </c>
    </row>
    <row r="2">
      <c r="B2" s="15" t="inlineStr">
        <is>
          <t>Enter Z-alpha, Control/Case Ratio, Exposure Prevalence, Max N Cases.
Power table: N Cases × OR → Power (Schlesselman formula).
Formula ported from VBA Module3 (ccPowercalc) — see Shiny app.
Ref: Schlesselman JJ. Case-control Studies. Oxford UP, 1982.</t>
        </is>
      </c>
      <c r="C2" s="50" t="n"/>
      <c r="D2" s="50" t="n"/>
      <c r="E2" s="50" t="n"/>
      <c r="F2" s="51" t="n"/>
    </row>
    <row r="3">
      <c r="B3" s="52" t="n"/>
      <c r="F3" s="53" t="n"/>
    </row>
    <row r="4">
      <c r="B4" s="52" t="n"/>
      <c r="F4" s="53" t="n"/>
    </row>
    <row r="5">
      <c r="B5" s="52" t="n"/>
      <c r="F5" s="53" t="n"/>
    </row>
    <row r="6">
      <c r="B6" s="52" t="n"/>
      <c r="F6" s="53" t="n"/>
    </row>
    <row r="7">
      <c r="B7" s="54" t="n"/>
      <c r="C7" s="55" t="n"/>
      <c r="D7" s="55" t="n"/>
      <c r="E7" s="55" t="n"/>
      <c r="F7" s="56" t="n"/>
    </row>
    <row r="9">
      <c r="B9" s="49" t="inlineStr">
        <is>
          <t>→ Full formula implementation in the Shiny app (see CLAUDE.md for spec)</t>
        </is>
      </c>
      <c r="C9" s="27" t="n"/>
      <c r="D9" s="27" t="n"/>
      <c r="E9" s="27" t="n"/>
      <c r="F9" s="28" t="n"/>
    </row>
  </sheetData>
  <mergeCells count="3">
    <mergeCell ref="B9:F9"/>
    <mergeCell ref="B1:F1"/>
    <mergeCell ref="B2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B1" s="14" t="inlineStr">
        <is>
          <t>Matched Case-control Data</t>
        </is>
      </c>
    </row>
    <row r="2">
      <c r="B2" s="15" t="inlineStr">
        <is>
          <t>Enter frequency counts for matched sets (up to 10 matching ratios).
Outputs: McNemar OR, exact CI, P-value, crude RR.
Exact CI requires iterative Binomial calculation — computed in Shiny.
Ref: Modern Epidemiology 3rd ed.</t>
        </is>
      </c>
      <c r="C2" s="50" t="n"/>
      <c r="D2" s="50" t="n"/>
      <c r="E2" s="50" t="n"/>
      <c r="F2" s="51" t="n"/>
    </row>
    <row r="3">
      <c r="B3" s="52" t="n"/>
      <c r="F3" s="53" t="n"/>
    </row>
    <row r="4">
      <c r="B4" s="52" t="n"/>
      <c r="F4" s="53" t="n"/>
    </row>
    <row r="5">
      <c r="B5" s="52" t="n"/>
      <c r="F5" s="53" t="n"/>
    </row>
    <row r="6">
      <c r="B6" s="52" t="n"/>
      <c r="F6" s="53" t="n"/>
    </row>
    <row r="7">
      <c r="B7" s="54" t="n"/>
      <c r="C7" s="55" t="n"/>
      <c r="D7" s="55" t="n"/>
      <c r="E7" s="55" t="n"/>
      <c r="F7" s="56" t="n"/>
    </row>
    <row r="9">
      <c r="B9" s="49" t="inlineStr">
        <is>
          <t>→ Full formula implementation in the Shiny app (see CLAUDE.md for spec)</t>
        </is>
      </c>
      <c r="C9" s="27" t="n"/>
      <c r="D9" s="27" t="n"/>
      <c r="E9" s="27" t="n"/>
      <c r="F9" s="28" t="n"/>
    </row>
  </sheetData>
  <mergeCells count="3">
    <mergeCell ref="B9:F9"/>
    <mergeCell ref="B1:F1"/>
    <mergeCell ref="B2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B1" s="14" t="inlineStr">
        <is>
          <t>P-value Functions</t>
        </is>
      </c>
    </row>
    <row r="2">
      <c r="B2" s="15" t="inlineStr">
        <is>
          <t>Enter lower and upper CI bounds for up to 2 study curves.
P-value function (compatibility curve) plotted in Shiny.
SE = (ln(UL) - ln(LL)) / (2×1.96); p = 2×(1−Φ(|ln(est)−ln(H0)|/SE)).
Ref: Poole C. Am J Public Health 1987;77(2):195-199.</t>
        </is>
      </c>
      <c r="C2" s="50" t="n"/>
      <c r="D2" s="50" t="n"/>
      <c r="E2" s="50" t="n"/>
      <c r="F2" s="51" t="n"/>
    </row>
    <row r="3">
      <c r="B3" s="52" t="n"/>
      <c r="F3" s="53" t="n"/>
    </row>
    <row r="4">
      <c r="B4" s="52" t="n"/>
      <c r="F4" s="53" t="n"/>
    </row>
    <row r="5">
      <c r="B5" s="52" t="n"/>
      <c r="F5" s="53" t="n"/>
    </row>
    <row r="6">
      <c r="B6" s="52" t="n"/>
      <c r="F6" s="53" t="n"/>
    </row>
    <row r="7">
      <c r="B7" s="54" t="n"/>
      <c r="C7" s="55" t="n"/>
      <c r="D7" s="55" t="n"/>
      <c r="E7" s="55" t="n"/>
      <c r="F7" s="56" t="n"/>
    </row>
    <row r="9">
      <c r="B9" s="49" t="inlineStr">
        <is>
          <t>→ Full formula implementation in the Shiny app (see CLAUDE.md for spec)</t>
        </is>
      </c>
      <c r="C9" s="27" t="n"/>
      <c r="D9" s="27" t="n"/>
      <c r="E9" s="27" t="n"/>
      <c r="F9" s="28" t="n"/>
    </row>
  </sheetData>
  <mergeCells count="3">
    <mergeCell ref="B9:F9"/>
    <mergeCell ref="B1:F1"/>
    <mergeCell ref="B2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2026-04-07T10:16:56Z</dcterms:created>
  <dcterms:modified xmlns:dcterms="http://purl.org/dc/terms/" xmlns:xsi="http://www.w3.org/2001/XMLSchema-instance" xsi:type="dcterms:W3CDTF">2026-04-07T10:17:15Z</dcterms:modified>
</cp:coreProperties>
</file>